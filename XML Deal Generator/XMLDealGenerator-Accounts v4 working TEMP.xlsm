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K:\Banking\Sales\Prospective Customers\HM Treasury\Demo 201805\DEMOXMLSTATIC\"/>
    </mc:Choice>
  </mc:AlternateContent>
  <bookViews>
    <workbookView xWindow="0" yWindow="225" windowWidth="38400" windowHeight="21600" tabRatio="997" activeTab="4"/>
  </bookViews>
  <sheets>
    <sheet name="Setup" sheetId="8" r:id="rId1"/>
    <sheet name="Spot (Sample)" sheetId="79" state="hidden" r:id="rId2"/>
    <sheet name="Sheet3" sheetId="80" state="hidden" r:id="rId3"/>
    <sheet name="Accounts" sheetId="85" r:id="rId4"/>
    <sheet name="BalanceUpload" sheetId="88" r:id="rId5"/>
    <sheet name="RUN" sheetId="78" state="hidden" r:id="rId6"/>
    <sheet name="Term" sheetId="16" state="hidden" r:id="rId7"/>
    <sheet name="$Term2" sheetId="73" state="hidden" r:id="rId8"/>
    <sheet name="$TermInterestDates" sheetId="17" state="hidden" r:id="rId9"/>
    <sheet name="$TermInterestRates" sheetId="74" state="hidden" r:id="rId10"/>
    <sheet name="$TermInterestAmortisations" sheetId="76" state="hidden" r:id="rId11"/>
  </sheets>
  <functionGroups builtInGroupCount="18"/>
  <definedNames>
    <definedName name="_xlnm._FilterDatabase" localSheetId="4" hidden="1">BalanceUpload!$A$1:$J$590</definedName>
    <definedName name="_xlnm._FilterDatabase" localSheetId="1" hidden="1">'Spot (Sample)'!$A$1:$O$11</definedName>
  </definedNames>
  <calcPr calcId="171027" concurrentCalc="0"/>
  <pivotCaches>
    <pivotCache cacheId="10" r:id="rId12"/>
  </pivotCaches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7" i="78" l="1"/>
  <c r="P13" i="78"/>
  <c r="J3" i="79"/>
  <c r="J4" i="79"/>
  <c r="J5" i="79"/>
  <c r="J6" i="79"/>
  <c r="J7" i="79"/>
  <c r="J8" i="79"/>
  <c r="J9" i="79"/>
  <c r="J10" i="79"/>
  <c r="J11" i="79"/>
  <c r="K3" i="79"/>
  <c r="K4" i="79"/>
  <c r="K5" i="79"/>
  <c r="K6" i="79"/>
  <c r="K7" i="79"/>
  <c r="K8" i="79"/>
  <c r="K9" i="79"/>
  <c r="K10" i="79"/>
  <c r="K11" i="79"/>
  <c r="K2" i="79"/>
  <c r="J2" i="79"/>
  <c r="E11" i="79"/>
  <c r="E10" i="79"/>
  <c r="E9" i="79"/>
  <c r="E8" i="79"/>
  <c r="E7" i="79"/>
  <c r="E6" i="79"/>
  <c r="E5" i="79"/>
  <c r="E4" i="79"/>
  <c r="E3" i="79"/>
  <c r="E2" i="79"/>
  <c r="A3" i="16"/>
  <c r="U3" i="16"/>
  <c r="A4" i="16"/>
  <c r="T4" i="16"/>
  <c r="U4" i="16"/>
  <c r="S4" i="16"/>
  <c r="A2" i="73"/>
  <c r="A2" i="16"/>
  <c r="S2" i="16"/>
  <c r="S3" i="16"/>
  <c r="T3" i="16"/>
  <c r="T2" i="16"/>
  <c r="U2" i="16"/>
</calcChain>
</file>

<file path=xl/comments1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comments4.xml><?xml version="1.0" encoding="utf-8"?>
<comments xmlns="http://schemas.openxmlformats.org/spreadsheetml/2006/main">
  <authors>
    <author>Jo Newell</author>
  </authors>
  <commentList>
    <comment ref="D1" authorId="0" shapeId="0">
      <text>
        <r>
          <rPr>
            <b/>
            <sz val="9"/>
            <color indexed="81"/>
            <rFont val="Tahoma"/>
            <family val="2"/>
          </rPr>
          <t>Jo Newell:</t>
        </r>
        <r>
          <rPr>
            <sz val="9"/>
            <color indexed="81"/>
            <rFont val="Tahoma"/>
            <family val="2"/>
          </rPr>
          <t xml:space="preserve">
ExecType:
0 new deal
5 Edit
</t>
        </r>
      </text>
    </comment>
  </commentList>
</comments>
</file>

<file path=xl/sharedStrings.xml><?xml version="1.0" encoding="utf-8"?>
<sst xmlns="http://schemas.openxmlformats.org/spreadsheetml/2006/main" count="6294" uniqueCount="2237">
  <si>
    <t>Directory</t>
  </si>
  <si>
    <t>Term</t>
  </si>
  <si>
    <t>JEN</t>
  </si>
  <si>
    <t>Book</t>
  </si>
  <si>
    <t>3M</t>
  </si>
  <si>
    <t>ZAR</t>
  </si>
  <si>
    <t>DealType</t>
  </si>
  <si>
    <t>Call</t>
  </si>
  <si>
    <t>Fixed</t>
  </si>
  <si>
    <t>LIBOR</t>
  </si>
  <si>
    <t>Key</t>
  </si>
  <si>
    <t>MsgID</t>
  </si>
  <si>
    <t>ExecType</t>
  </si>
  <si>
    <t>TradeDate</t>
  </si>
  <si>
    <t>ExtRefNo</t>
  </si>
  <si>
    <t>ABC1234</t>
  </si>
  <si>
    <t>ExternalCustomer</t>
  </si>
  <si>
    <t>ABCLON</t>
  </si>
  <si>
    <t>Direction</t>
  </si>
  <si>
    <t>LOAN</t>
  </si>
  <si>
    <t>Payment</t>
  </si>
  <si>
    <t>abc1</t>
  </si>
  <si>
    <t>Rate</t>
  </si>
  <si>
    <t>DealtCurrency</t>
  </si>
  <si>
    <t>DealtAmount</t>
  </si>
  <si>
    <t>BkA</t>
  </si>
  <si>
    <t>ValueDate</t>
  </si>
  <si>
    <t>2008-05-21</t>
  </si>
  <si>
    <t>2008-05-23</t>
  </si>
  <si>
    <t>MaturityDate</t>
  </si>
  <si>
    <t>2009-05-23</t>
  </si>
  <si>
    <t>InterestFrequency</t>
  </si>
  <si>
    <t>InterestRateType</t>
  </si>
  <si>
    <t>FloatingRateMargin</t>
  </si>
  <si>
    <t>InterestAction</t>
  </si>
  <si>
    <t>InterestDates</t>
  </si>
  <si>
    <t>2</t>
  </si>
  <si>
    <t>InterestRates</t>
  </si>
  <si>
    <t>InterestAmortisations</t>
  </si>
  <si>
    <t>Notes</t>
  </si>
  <si>
    <t>Hello</t>
  </si>
  <si>
    <t>ABC1235</t>
  </si>
  <si>
    <t>InterestDate</t>
  </si>
  <si>
    <t>2008-08-25</t>
  </si>
  <si>
    <t>2008-11-24</t>
  </si>
  <si>
    <t>2009-02-21</t>
  </si>
  <si>
    <t>2009-05-25</t>
  </si>
  <si>
    <t>InterestRate</t>
  </si>
  <si>
    <t>3.5</t>
  </si>
  <si>
    <t>DEPO</t>
  </si>
  <si>
    <t>ABC1236</t>
  </si>
  <si>
    <t>ABC1237</t>
  </si>
  <si>
    <t>ABC1238</t>
  </si>
  <si>
    <t>Spot</t>
  </si>
  <si>
    <t>AgainstCurrency</t>
  </si>
  <si>
    <t>GBP</t>
  </si>
  <si>
    <t>USD</t>
  </si>
  <si>
    <t>EUR</t>
  </si>
  <si>
    <t>TRY</t>
  </si>
  <si>
    <t>Deal</t>
  </si>
  <si>
    <t>32-1458747973-1753-409739</t>
  </si>
  <si>
    <t>NOK</t>
  </si>
  <si>
    <t>1191-1458747966-6284-4668090</t>
  </si>
  <si>
    <t>CAD</t>
  </si>
  <si>
    <t>10-1458747965-9604-4642443</t>
  </si>
  <si>
    <t>1516-1458747964-3083-4604414</t>
  </si>
  <si>
    <t>172-1458747961-4002-438740</t>
  </si>
  <si>
    <t>239-1458747961-3393-4110577</t>
  </si>
  <si>
    <t>578-1458747958-5958-709355</t>
  </si>
  <si>
    <t>743-1458747957-0414-3855820</t>
  </si>
  <si>
    <t>12-1458747955-8583-79142</t>
  </si>
  <si>
    <t>JPY</t>
  </si>
  <si>
    <t>3641053-1458747975-56</t>
  </si>
  <si>
    <t>56</t>
  </si>
  <si>
    <t>3641050-1458747973-261</t>
  </si>
  <si>
    <t>261</t>
  </si>
  <si>
    <t>3641044-1458747967-238</t>
  </si>
  <si>
    <t>238</t>
  </si>
  <si>
    <t>3641041-1458747966-216</t>
  </si>
  <si>
    <t>216</t>
  </si>
  <si>
    <t>3641038-1458747964-171</t>
  </si>
  <si>
    <t>171</t>
  </si>
  <si>
    <t>3641035-1458747961-172</t>
  </si>
  <si>
    <t>172</t>
  </si>
  <si>
    <t>3641032-1458747961-200</t>
  </si>
  <si>
    <t>200</t>
  </si>
  <si>
    <t>3641029-1458747959-107</t>
  </si>
  <si>
    <t>107</t>
  </si>
  <si>
    <t>3641026-1458747957-102</t>
  </si>
  <si>
    <t>102</t>
  </si>
  <si>
    <t>3641023-1458747956-224</t>
  </si>
  <si>
    <t>224</t>
  </si>
  <si>
    <t>AUD</t>
  </si>
  <si>
    <t>NZD</t>
  </si>
  <si>
    <t>RUB</t>
  </si>
  <si>
    <t>BRL</t>
  </si>
  <si>
    <t>AED</t>
  </si>
  <si>
    <t>DKK</t>
  </si>
  <si>
    <t>SEK</t>
  </si>
  <si>
    <t>AZN</t>
  </si>
  <si>
    <t>END POINT</t>
  </si>
  <si>
    <t>BUY</t>
  </si>
  <si>
    <t>Row Labels</t>
  </si>
  <si>
    <t>(blank)</t>
  </si>
  <si>
    <t>Grand Total</t>
  </si>
  <si>
    <t>1M</t>
  </si>
  <si>
    <t>N</t>
  </si>
  <si>
    <t>Account</t>
  </si>
  <si>
    <t>ParentExtRefNo</t>
  </si>
  <si>
    <t>Adjustment</t>
  </si>
  <si>
    <t>RedefaultValues</t>
  </si>
  <si>
    <t>Account Amendment</t>
  </si>
  <si>
    <t>ADJUSTMENT/A-ADJ</t>
  </si>
  <si>
    <t>K:\Banking\Sales\Prospective Customers\HM Treasury\Demo 201805\DEMOXMLSTATIC\dealImportData\</t>
  </si>
  <si>
    <t>BACSRCPTS/A-BACS</t>
  </si>
  <si>
    <t>BARCTOSHIP/A-BBARC</t>
  </si>
  <si>
    <t>BOECLRD1/A-BECC1</t>
  </si>
  <si>
    <t>NWTOSHIP/A-BNATW</t>
  </si>
  <si>
    <t>CREST/A-CREST</t>
  </si>
  <si>
    <t>RESIDUAL/A-RESID</t>
  </si>
  <si>
    <t>NICTONI/A-TNINI</t>
  </si>
  <si>
    <t>BOECLRCPAY/A-UBECC</t>
  </si>
  <si>
    <t>CHAPSPAYM/A-UCHAP</t>
  </si>
  <si>
    <t>NICSTONIF/AZ-TNIF</t>
  </si>
  <si>
    <t>ADJUSTMENT/B-ADJ</t>
  </si>
  <si>
    <t>BACSRCPTS/B-BACS</t>
  </si>
  <si>
    <t>ENGLISHREC/B-ENG</t>
  </si>
  <si>
    <t>ADJUSTMENT</t>
  </si>
  <si>
    <t>HMRC-LON</t>
  </si>
  <si>
    <t>accountName</t>
  </si>
  <si>
    <t>accountNumber</t>
  </si>
  <si>
    <t>name</t>
  </si>
  <si>
    <t>number</t>
  </si>
  <si>
    <t>OTHER-OTH</t>
  </si>
  <si>
    <t>Adjustments [A-adj]</t>
  </si>
  <si>
    <t>Adjustments [B-adj]</t>
  </si>
  <si>
    <t>AGGREGATES/B-DUTYX</t>
  </si>
  <si>
    <t>HMRC-OTH</t>
  </si>
  <si>
    <t>AGGREGATES</t>
  </si>
  <si>
    <t>Aggregates [B-dutyx]</t>
  </si>
  <si>
    <t>ALLIANCE-OTH</t>
  </si>
  <si>
    <t>Alliance &amp; Leicester [A-cgiro]</t>
  </si>
  <si>
    <t>APD/B-DUTYX</t>
  </si>
  <si>
    <t>APD</t>
  </si>
  <si>
    <t>APD [B-dutyx]</t>
  </si>
  <si>
    <t>BACS/D-P1BAC</t>
  </si>
  <si>
    <t>BOE-OTH</t>
  </si>
  <si>
    <t>BACS</t>
  </si>
  <si>
    <t>BACS [D-p1bac]</t>
  </si>
  <si>
    <t>BACSRCPTS</t>
  </si>
  <si>
    <t>BACS receipts [A-bacs]</t>
  </si>
  <si>
    <t>BACS receipts [B-bacs]</t>
  </si>
  <si>
    <t>BANKGIROCR/D-OIDRX</t>
  </si>
  <si>
    <t>BANKGIROCR</t>
  </si>
  <si>
    <t>Bank Giro Credit [D-oidrx]</t>
  </si>
  <si>
    <t>BOETRANSFR/D-P1BOET</t>
  </si>
  <si>
    <t>BOETRANSFR</t>
  </si>
  <si>
    <t>Bank of England Transfers [D-p1boet]</t>
  </si>
  <si>
    <t>BARCLAYS-OTH</t>
  </si>
  <si>
    <t>BARCTOSHIP</t>
  </si>
  <si>
    <t>Barclays to Shipley transfer [A-bbarc]</t>
  </si>
  <si>
    <t>BBCGRANTS/D-P1BACX</t>
  </si>
  <si>
    <t>BBC-OTH</t>
  </si>
  <si>
    <t>BBCGRANTS</t>
  </si>
  <si>
    <t>BBC grants [D-p1bacx]</t>
  </si>
  <si>
    <t>BEER/B-DUTYX</t>
  </si>
  <si>
    <t>BEER</t>
  </si>
  <si>
    <t>Beer [B-dutyx]</t>
  </si>
  <si>
    <t>BERR/D-P1BACX</t>
  </si>
  <si>
    <t>BERR</t>
  </si>
  <si>
    <t>BERR [D-p1bacx]</t>
  </si>
  <si>
    <t>BERR/D-P1CHPX</t>
  </si>
  <si>
    <t>BERR [D-p1chpx]</t>
  </si>
  <si>
    <t>BGSINTRST/D-P1BACX</t>
  </si>
  <si>
    <t>BGSINTRST</t>
  </si>
  <si>
    <t>BGS Interest [D-p1bacx]</t>
  </si>
  <si>
    <t>BOECLRCPAY</t>
  </si>
  <si>
    <t>BoE Clearing Centre Payments [A-ubecc]</t>
  </si>
  <si>
    <t>BOECLRD1</t>
  </si>
  <si>
    <t>BoE Clearing Day 1 [A-becc1]</t>
  </si>
  <si>
    <t>BOECLRD2/A-BECC2</t>
  </si>
  <si>
    <t>BOECLRD2</t>
  </si>
  <si>
    <t>BoE Clearing Day 2 [A-becc2]</t>
  </si>
  <si>
    <t>BOECLRD3/A-BECC3</t>
  </si>
  <si>
    <t>BOECLRD3</t>
  </si>
  <si>
    <t>BoE Clearing Day 3 [A-becc3]</t>
  </si>
  <si>
    <t>BOECLRD4/A-BECC4</t>
  </si>
  <si>
    <t>BOECLRD4</t>
  </si>
  <si>
    <t>BoE Clearing Day 4 [A-becc4]</t>
  </si>
  <si>
    <t>BROADCAST/D-BRL</t>
  </si>
  <si>
    <t>BROADCAST</t>
  </si>
  <si>
    <t>Broadcasting Receiving Licences [D-brl]</t>
  </si>
  <si>
    <t>CABINETOFF/D-P1BACX</t>
  </si>
  <si>
    <t>CAB-LON</t>
  </si>
  <si>
    <t>CABINETOFF</t>
  </si>
  <si>
    <t>Cabinet Office [D-p1bacx]</t>
  </si>
  <si>
    <t>CABINETOFF/D-P1CHPX</t>
  </si>
  <si>
    <t>Cabinet Office [D-p1chpx]</t>
  </si>
  <si>
    <t>CAPITA/D-P1CHPX</t>
  </si>
  <si>
    <t>HMT-LON</t>
  </si>
  <si>
    <t>CAPITA</t>
  </si>
  <si>
    <t>Capita [D-p1chpx]</t>
  </si>
  <si>
    <t>CCL/B-DUTYX</t>
  </si>
  <si>
    <t>CCL</t>
  </si>
  <si>
    <t>CCL [B-dutyx]</t>
  </si>
  <si>
    <t>CENTRALOFF/D-P1BACX</t>
  </si>
  <si>
    <t>BUSI-LON</t>
  </si>
  <si>
    <t>CENTRALOFF</t>
  </si>
  <si>
    <t>Central office of Information [D-p1bacx]</t>
  </si>
  <si>
    <t>CERTOFTAXD/AZ-CTDR</t>
  </si>
  <si>
    <t>CERTOFTAXD</t>
  </si>
  <si>
    <t>Cert of Tax Deposit Purchases [AZ-ctdr]</t>
  </si>
  <si>
    <t>CFSUPPLYIS/DZ-SUPPLY</t>
  </si>
  <si>
    <t>CFSUPPLYIS</t>
  </si>
  <si>
    <t>CF Supply Issues to OPG [DZ-supply]</t>
  </si>
  <si>
    <t>CHAPS/D-P1CHP</t>
  </si>
  <si>
    <t>CHAPS</t>
  </si>
  <si>
    <t>CHAPS [D-p1chp]</t>
  </si>
  <si>
    <t>CHAPSPAYM</t>
  </si>
  <si>
    <t>CHAPS Payments [A-uchap]</t>
  </si>
  <si>
    <t>CHAPSRECPT/A-CHAPS</t>
  </si>
  <si>
    <t>CHAPSRECPT</t>
  </si>
  <si>
    <t>CHAPS Receipts [A-chaps]</t>
  </si>
  <si>
    <t>CHARITYBAC/A-TIDX</t>
  </si>
  <si>
    <t>DWP-LON</t>
  </si>
  <si>
    <t>CHARITYBAC</t>
  </si>
  <si>
    <t>Charity BACS [A-tidx]</t>
  </si>
  <si>
    <t>CHILDBENEF/D-P1BACX</t>
  </si>
  <si>
    <t>CHILDBENEF</t>
  </si>
  <si>
    <t>Child Benefit [D-p1bacx]</t>
  </si>
  <si>
    <t>CIDERPERRY/B-DUTYX</t>
  </si>
  <si>
    <t>CIDERPERRY</t>
  </si>
  <si>
    <t>Cider and Perry [B-dutyx]</t>
  </si>
  <si>
    <t>CIVILSUPER/D-P1BACX</t>
  </si>
  <si>
    <t>CIVILSUPER</t>
  </si>
  <si>
    <t>Civil Superannuation [D-p1bacx]</t>
  </si>
  <si>
    <t>COTAXSA/A-TIDX</t>
  </si>
  <si>
    <t>COTAXSA</t>
  </si>
  <si>
    <t>COTAX / SA [A-tidx]</t>
  </si>
  <si>
    <t>CREST</t>
  </si>
  <si>
    <t>CREST [A-crest]</t>
  </si>
  <si>
    <t>CROWNESTAT/S-CEST</t>
  </si>
  <si>
    <t>CROWN-LON</t>
  </si>
  <si>
    <t>CROWNESTAT</t>
  </si>
  <si>
    <t>Crown Estate [S-cest]</t>
  </si>
  <si>
    <t>CUSTOMS/B-DUTYX</t>
  </si>
  <si>
    <t>CUSTOMS</t>
  </si>
  <si>
    <t>Customs [B-dutyx]</t>
  </si>
  <si>
    <t>CUSTOMSBAL/BZ-CECONF</t>
  </si>
  <si>
    <t>CUSTOMSBAL</t>
  </si>
  <si>
    <t>Customs balance transfer to CF [BZ-ceconf]</t>
  </si>
  <si>
    <t>CUSTOMSBAL/R-CEBAL</t>
  </si>
  <si>
    <t>Customs balance transfer to CF [R-cebal]</t>
  </si>
  <si>
    <t>CUSTOMSPAY/BZ-CEOPG</t>
  </si>
  <si>
    <t>CUSTOMSPAY</t>
  </si>
  <si>
    <t>Customs payments to OPG (inc Cont Fund repayments) [BZ-ceopg]</t>
  </si>
  <si>
    <t>CUSTOMSPAY/DZ-CEOPG</t>
  </si>
  <si>
    <t>Customs payments to OPG (inc Cont Fund repayments) [DZ-ceopg]</t>
  </si>
  <si>
    <t>CUSTOMRECO/BZ-OPGCE</t>
  </si>
  <si>
    <t>CUSTOMRECO</t>
  </si>
  <si>
    <t>Customs receipts from OPG (inc Cont Fund drawings) [BZ-opgce]</t>
  </si>
  <si>
    <t>CUSTOMSREC/DZ-OPGCE</t>
  </si>
  <si>
    <t>CUSTOMSREC</t>
  </si>
  <si>
    <t>Customs Receipts from OPG (incl Cont Fund Drawing) [DZ-opgce]</t>
  </si>
  <si>
    <t>DCLG/D-P1BACX</t>
  </si>
  <si>
    <t>DCLG</t>
  </si>
  <si>
    <t>DCLG [D-p1bacx]</t>
  </si>
  <si>
    <t>DCLG/D-P1CHPX</t>
  </si>
  <si>
    <t>DCLG [D-p1chpx]</t>
  </si>
  <si>
    <t>DCMS/D-P1BACX</t>
  </si>
  <si>
    <t>DCMS</t>
  </si>
  <si>
    <t>DCMS [D-p1bacx]</t>
  </si>
  <si>
    <t>DCMS/D-P1CHPX</t>
  </si>
  <si>
    <t>DCMS [D-p1chpx]</t>
  </si>
  <si>
    <t>DCSF/D-P1BACX</t>
  </si>
  <si>
    <t>DCSF</t>
  </si>
  <si>
    <t>DCSF [D-p1bacx]</t>
  </si>
  <si>
    <t>DCSF/D-P1CHPX</t>
  </si>
  <si>
    <t>DCSF [D-p1chpx]</t>
  </si>
  <si>
    <t>DEFERREDDU/B-DUTYX</t>
  </si>
  <si>
    <t>DEFERREDDU</t>
  </si>
  <si>
    <t>Deferred Duties [B-dutyx]</t>
  </si>
  <si>
    <t>DEFRA/D-P1BACX</t>
  </si>
  <si>
    <t>DEFRA-LON</t>
  </si>
  <si>
    <t>DEFRA</t>
  </si>
  <si>
    <t>DEFRA [D-p1bacx]</t>
  </si>
  <si>
    <t>DEFRA/D-P1CHPX</t>
  </si>
  <si>
    <t>DEFRA [D-p1chpx]</t>
  </si>
  <si>
    <t>DENTALSERV/D-P1BACX</t>
  </si>
  <si>
    <t>HEALTH-OTH</t>
  </si>
  <si>
    <t>DENTALSERV</t>
  </si>
  <si>
    <t>Dental services [D-p1bacx]</t>
  </si>
  <si>
    <t>DEPTINNO/D-P1BACX</t>
  </si>
  <si>
    <t>EDU-OTH</t>
  </si>
  <si>
    <t>DEPTINNO</t>
  </si>
  <si>
    <t>Department for Innovation Universities and Schools [D-p1bacx]</t>
  </si>
  <si>
    <t>DEPTHEALTH/D-P1BACX</t>
  </si>
  <si>
    <t>DEPTHEALTH</t>
  </si>
  <si>
    <t>Department of Health [D-p1bacx]</t>
  </si>
  <si>
    <t>DEPTHEALTH/D-P1CHPX</t>
  </si>
  <si>
    <t>Department of Health [D-p1chpx]</t>
  </si>
  <si>
    <t>DEPTTRANS/D-P1BACX</t>
  </si>
  <si>
    <t>DFT-LON</t>
  </si>
  <si>
    <t>DEPTTRANS</t>
  </si>
  <si>
    <t>Dept for Transport [D-p1bacx]</t>
  </si>
  <si>
    <t>DFID/D-P1BACX</t>
  </si>
  <si>
    <t>INTDEV-LON</t>
  </si>
  <si>
    <t>DFID</t>
  </si>
  <si>
    <t>DFID [D-p1bacx]</t>
  </si>
  <si>
    <t>DFID/D-P1CHPX</t>
  </si>
  <si>
    <t>DFID [D-p1chpx]</t>
  </si>
  <si>
    <t>DFT/D-P1CHPX</t>
  </si>
  <si>
    <t>TRANSPORT-LON</t>
  </si>
  <si>
    <t>DFT</t>
  </si>
  <si>
    <t>DFT [D-p1chpx]</t>
  </si>
  <si>
    <t>DUTY/B-DUTY</t>
  </si>
  <si>
    <t>DUTY</t>
  </si>
  <si>
    <t>Duty [B-duty]</t>
  </si>
  <si>
    <t>DVLA/D-P1BACX</t>
  </si>
  <si>
    <t>DVLA</t>
  </si>
  <si>
    <t>DVLA [D-p1bacx]</t>
  </si>
  <si>
    <t>DWP/D-P1CHPX</t>
  </si>
  <si>
    <t>DWP</t>
  </si>
  <si>
    <t>DWP [D-p1chpx]</t>
  </si>
  <si>
    <t>ECGD/D-OIDRX</t>
  </si>
  <si>
    <t>OTHER-EMI</t>
  </si>
  <si>
    <t>ECGD</t>
  </si>
  <si>
    <t>ECGD [D-oidrx]</t>
  </si>
  <si>
    <t>EDUCATION/D-ED</t>
  </si>
  <si>
    <t>EDUCATION</t>
  </si>
  <si>
    <t>Education [D-ed]</t>
  </si>
  <si>
    <t>ENGLANDNHS/AZ-IROPGX</t>
  </si>
  <si>
    <t>NHS-LON</t>
  </si>
  <si>
    <t>ENGLANDNHS</t>
  </si>
  <si>
    <t>England NHS [AZ-iropgx]</t>
  </si>
  <si>
    <t>ENGLANDNHS/DZ-IROPGX</t>
  </si>
  <si>
    <t>England NHS [DZ-iropgx]</t>
  </si>
  <si>
    <t>HMRC-EOE</t>
  </si>
  <si>
    <t>ENGLISHREC</t>
  </si>
  <si>
    <t>English Receipts [B-eng]</t>
  </si>
  <si>
    <t>EUROPEANCO/D-P1CHPX</t>
  </si>
  <si>
    <t>EUROPE-OTH</t>
  </si>
  <si>
    <t>EUROPEANCO</t>
  </si>
  <si>
    <t>European Communities [D-p1chpx]</t>
  </si>
  <si>
    <t>EVAT/B-EVAT</t>
  </si>
  <si>
    <t>EVAT</t>
  </si>
  <si>
    <t>eVAT [B-eVAT]</t>
  </si>
  <si>
    <t>FAS/B-DUTYX</t>
  </si>
  <si>
    <t>HMRC-NIR</t>
  </si>
  <si>
    <t>FAS</t>
  </si>
  <si>
    <t>FAS [B-dutyx]</t>
  </si>
  <si>
    <t>FCO/D-P1BACX</t>
  </si>
  <si>
    <t>FCO-LON</t>
  </si>
  <si>
    <t>FCO</t>
  </si>
  <si>
    <t>FCO [D-p1bacx]</t>
  </si>
  <si>
    <t>FCO/D-P1CHPX</t>
  </si>
  <si>
    <t>FCO [D-p1chpx]</t>
  </si>
  <si>
    <t>FORESTRYFU/D-P1BACX</t>
  </si>
  <si>
    <t>FORESTRYFU</t>
  </si>
  <si>
    <t>Forestry Fund [D-p1bacx]</t>
  </si>
  <si>
    <t>GACA/B-DUTYX</t>
  </si>
  <si>
    <t>GACA</t>
  </si>
  <si>
    <t>GACA [B-dutyx]</t>
  </si>
  <si>
    <t>GCHQ/D-P1BACX</t>
  </si>
  <si>
    <t>MOD-OTH</t>
  </si>
  <si>
    <t>GCHQ</t>
  </si>
  <si>
    <t>GCHQ [D-p1bacx]</t>
  </si>
  <si>
    <t>GCHQ/D-P1CHPX</t>
  </si>
  <si>
    <t>GCHQ [D-p1chpx]</t>
  </si>
  <si>
    <t>Government Department's Foreign Exchange Payments [DZ-pfep]</t>
  </si>
  <si>
    <t>GRANTSTORA/D-P1BACX</t>
  </si>
  <si>
    <t>GRANTSTORA</t>
  </si>
  <si>
    <t>Grants to Rail Operators [D-p1bacx]</t>
  </si>
  <si>
    <t>HEALTH/D-P1BACX</t>
  </si>
  <si>
    <t>HEALTH</t>
  </si>
  <si>
    <t>Health [D-p1bacx]</t>
  </si>
  <si>
    <t>HEALTHAUTH/D-P1CHPX</t>
  </si>
  <si>
    <t>HEALTHAUTH</t>
  </si>
  <si>
    <t>Health authorities [D-p1chpx]</t>
  </si>
  <si>
    <t>HEFCE/D-P1BACX</t>
  </si>
  <si>
    <t>HEFCE</t>
  </si>
  <si>
    <t>HEFCE [D-p1bacx]</t>
  </si>
  <si>
    <t>HIGHWAYSAG/D-P1BACX</t>
  </si>
  <si>
    <t>HIGHWAYSAG</t>
  </si>
  <si>
    <t>Highways Agency [D-p1bacx]</t>
  </si>
  <si>
    <t>HM Revenue &amp; Customs [D-p1bacx]</t>
  </si>
  <si>
    <t>HMRC/D-P1BOETX</t>
  </si>
  <si>
    <t>HMRC</t>
  </si>
  <si>
    <t>HMRC [D-p1boetx]</t>
  </si>
  <si>
    <t>HMRC/D-P1CHPX</t>
  </si>
  <si>
    <t>HMRC [D-p1chpx]</t>
  </si>
  <si>
    <t>HOMEOFFICE/D-P1BACX</t>
  </si>
  <si>
    <t>HOME-LON</t>
  </si>
  <si>
    <t>HOMEOFFICE</t>
  </si>
  <si>
    <t>Home office [D-p1bacx]</t>
  </si>
  <si>
    <t>HOMEOFFICE/D-P1CHPX</t>
  </si>
  <si>
    <t>Home office [D-p1chpx]</t>
  </si>
  <si>
    <t>HOUSEOFCOM/D-P1BACX</t>
  </si>
  <si>
    <t>HOUSEOFCOM</t>
  </si>
  <si>
    <t>House of Commons [D-p1bacx]</t>
  </si>
  <si>
    <t>HOUSINGBEN/D-P1BACX</t>
  </si>
  <si>
    <t>HOUSINGBEN</t>
  </si>
  <si>
    <t>Housing Benefits [D-p1bacx]</t>
  </si>
  <si>
    <t>HOUSINGCOR/D-P1BACX</t>
  </si>
  <si>
    <t>HOUSINGCOR</t>
  </si>
  <si>
    <t>Housing Corporation [D-p1bacx]</t>
  </si>
  <si>
    <t>HYDROCARBO/B-DUTYX</t>
  </si>
  <si>
    <t>HYDROCARBO</t>
  </si>
  <si>
    <t>Hydrocarbon Oil [B-dutyx]</t>
  </si>
  <si>
    <t>IDENTIFIED/A-TID</t>
  </si>
  <si>
    <t>IDENTIFIED</t>
  </si>
  <si>
    <t>Identified Repayments [A-tid]</t>
  </si>
  <si>
    <t>INCREDITCL/B-VETF</t>
  </si>
  <si>
    <t>INCREDITCL</t>
  </si>
  <si>
    <t>In Credit Clearing [B-vetf]</t>
  </si>
  <si>
    <t>INDEBITCLE/B-VMTF</t>
  </si>
  <si>
    <t>INDEBITCLE</t>
  </si>
  <si>
    <t>In Debit Clearing [B-vmtf]</t>
  </si>
  <si>
    <t>INCOMESUPP/D-P1BACX</t>
  </si>
  <si>
    <t>INCOMESUPP</t>
  </si>
  <si>
    <t>Income Support [D-p1bacx]</t>
  </si>
  <si>
    <t>INLANDREVE/AZ-IROPG</t>
  </si>
  <si>
    <t>INLAND-OTH</t>
  </si>
  <si>
    <t>INLANDREVE</t>
  </si>
  <si>
    <t>Inland Revenue transfers to OPG [AZ-iropg]</t>
  </si>
  <si>
    <t>INLANDREVE/DZ-IROPG</t>
  </si>
  <si>
    <t>Inland Revenue transfers to OPG [DZ-iropg]</t>
  </si>
  <si>
    <t>INSOLVENCY/D-P1BACX</t>
  </si>
  <si>
    <t>INSOLVENCY</t>
  </si>
  <si>
    <t>Insolvency Services [D-p1bacx]</t>
  </si>
  <si>
    <t>INSOLVENCY/D-P1BOETX</t>
  </si>
  <si>
    <t>Insolvency Services [D-p1boetx]</t>
  </si>
  <si>
    <t>INSOLVENCY/D-P1CHPX</t>
  </si>
  <si>
    <t>Insolvency Services [D-p1chpx]</t>
  </si>
  <si>
    <t>INTERESTPA/L-CHAPSINT</t>
  </si>
  <si>
    <t>INTERESTPA</t>
  </si>
  <si>
    <t>Interest Payments by CHAPS [L-chapsint]</t>
  </si>
  <si>
    <t>IPT/B-DUTYX</t>
  </si>
  <si>
    <t>IPT</t>
  </si>
  <si>
    <t>IPT [B-dutyx]</t>
  </si>
  <si>
    <t>IR balance transfer to  CF [AZ-ircf]</t>
  </si>
  <si>
    <t>IRBALANCET/R-IRBAL</t>
  </si>
  <si>
    <t>IRBALANCET</t>
  </si>
  <si>
    <t>IR Balance Transfer to CF [R-irbal]</t>
  </si>
  <si>
    <t>IR transfers to NLF for CTD purchases [AZ-irnlfctd]</t>
  </si>
  <si>
    <t>IR transfers to NLF for CTD purchases [S-irnlfctd]</t>
  </si>
  <si>
    <t>ISA/A-TIDX</t>
  </si>
  <si>
    <t>ISA</t>
  </si>
  <si>
    <t>ISA [A-tidx]</t>
  </si>
  <si>
    <t>JSA/A-TIDX</t>
  </si>
  <si>
    <t>JSA</t>
  </si>
  <si>
    <t>JSA [A-tidx]</t>
  </si>
  <si>
    <t>LANDFILLTA/B-DUTYX</t>
  </si>
  <si>
    <t>LANDFILLTA</t>
  </si>
  <si>
    <t>Landfill tax [B-dutyx]</t>
  </si>
  <si>
    <t>LAPR/A-TIDX</t>
  </si>
  <si>
    <t>LAPR</t>
  </si>
  <si>
    <t>LAPR [A-tidx]</t>
  </si>
  <si>
    <t>Learning &amp; Skills Council [D-p1bacx]</t>
  </si>
  <si>
    <t>LOTTERY/B-DUTYX</t>
  </si>
  <si>
    <t>LOTTERY</t>
  </si>
  <si>
    <t>Lottery [B-dutyx]</t>
  </si>
  <si>
    <t>LSC/D-P1CHPX</t>
  </si>
  <si>
    <t>LSC</t>
  </si>
  <si>
    <t>LSC [D-p1chpx]</t>
  </si>
  <si>
    <t>MINEWORKER/D-MINEPEN</t>
  </si>
  <si>
    <t>MINEWORKER</t>
  </si>
  <si>
    <t>Mineworker Pensions [D-minepen]</t>
  </si>
  <si>
    <t>MIRAS/A-TIDX</t>
  </si>
  <si>
    <t>MIRAS</t>
  </si>
  <si>
    <t>MIRAS [A-tidx]</t>
  </si>
  <si>
    <t>MISC.PMGRE/D-MSCPR</t>
  </si>
  <si>
    <t>MISC.PMGRE</t>
  </si>
  <si>
    <t>Misc. PMG Receipts [D-mscPR]</t>
  </si>
  <si>
    <t>MISC/B-DUTYX</t>
  </si>
  <si>
    <t>MISC</t>
  </si>
  <si>
    <t>Miscellaneous [B-dutyx]</t>
  </si>
  <si>
    <t>MODLIVERPO/D-P1BACX</t>
  </si>
  <si>
    <t>MODLIVERPO</t>
  </si>
  <si>
    <t>MOD Liverpool [D-p1bacx]</t>
  </si>
  <si>
    <t>MODLIVERPO/D-P1CHPX</t>
  </si>
  <si>
    <t>MOD Liverpool [D-p1chpx]</t>
  </si>
  <si>
    <t>MOJ-CORE/D-P1BACX</t>
  </si>
  <si>
    <t>MOJ-OTH</t>
  </si>
  <si>
    <t>MOJ-CORE</t>
  </si>
  <si>
    <t>MOJ -Core [D-p1bacx]</t>
  </si>
  <si>
    <t>MOJ-CORE/D-P1CHPX</t>
  </si>
  <si>
    <t>MOJ -Core [D-p1chpx]</t>
  </si>
  <si>
    <t>MOJ-SCOTLA/D-P1BACX</t>
  </si>
  <si>
    <t>MOJ-SCO</t>
  </si>
  <si>
    <t>MOJ-SCOTLA</t>
  </si>
  <si>
    <t>MOJ -Scotland [D-p1bacx]</t>
  </si>
  <si>
    <t>MOJ-SCOTLA/D-P1CHPX</t>
  </si>
  <si>
    <t>MOJ -Scotland [D-p1chpx]</t>
  </si>
  <si>
    <t>MOJ-WALES/D-P1CHPX</t>
  </si>
  <si>
    <t>MOJ-WAL</t>
  </si>
  <si>
    <t>MOJ-WALES</t>
  </si>
  <si>
    <t>MOJ -Wales [D-p1chpx]</t>
  </si>
  <si>
    <t>MOTORVEHIC/D-MVL</t>
  </si>
  <si>
    <t>MOTORVEHIC</t>
  </si>
  <si>
    <t>Motor Vehicle Licensing [D-mvl]</t>
  </si>
  <si>
    <t>MRC/D-P1CHPX</t>
  </si>
  <si>
    <t>MRC</t>
  </si>
  <si>
    <t>MRC [D-p1chpx]</t>
  </si>
  <si>
    <t>NATWEST-OTH</t>
  </si>
  <si>
    <t>NWTOSHIP</t>
  </si>
  <si>
    <t>Nat West Bank Shipley [A-bnatw]</t>
  </si>
  <si>
    <t>NIFUND/AZ-IROPGX</t>
  </si>
  <si>
    <t>NIFUND</t>
  </si>
  <si>
    <t>National Insurance Fund [AZ-iropgx]</t>
  </si>
  <si>
    <t>NIFUND/DZ-IROPGX</t>
  </si>
  <si>
    <t>National Insurance Fund [DZ-iropgx]</t>
  </si>
  <si>
    <t>NATLOTTPAY/D-PNLDF</t>
  </si>
  <si>
    <t>NATLOTTPAY</t>
  </si>
  <si>
    <t>National Lottery Distribution Fund payments [D-pnldf]</t>
  </si>
  <si>
    <t>NATLOTTRCP/D-NLDFR</t>
  </si>
  <si>
    <t>NSI-OTH</t>
  </si>
  <si>
    <t>NATLOTTRCP</t>
  </si>
  <si>
    <t>National Lottery Distribution Fund receipts [D-nldfR]</t>
  </si>
  <si>
    <t>NDA/D-NDAREC</t>
  </si>
  <si>
    <t>NDA</t>
  </si>
  <si>
    <t>NDA [D-ndarec]</t>
  </si>
  <si>
    <t>NDA/D-P1BACX</t>
  </si>
  <si>
    <t>NDA [D-p1bacx]</t>
  </si>
  <si>
    <t>NDA/D-P1CHPX</t>
  </si>
  <si>
    <t>NDA [D-p1chpx]</t>
  </si>
  <si>
    <t>NHSNORTHER/A-TIDX</t>
  </si>
  <si>
    <t>NHS-NIR</t>
  </si>
  <si>
    <t>NHSNORTHER</t>
  </si>
  <si>
    <t>NHS Northern Ireland [A-tidx]</t>
  </si>
  <si>
    <t>NHSPENSION/D-P1BACX</t>
  </si>
  <si>
    <t>NHSPENSION</t>
  </si>
  <si>
    <t>NHS Pensions [D-p1bacx]</t>
  </si>
  <si>
    <t>NIBNOTESPA/S-NIBNS</t>
  </si>
  <si>
    <t>NICS-NIR</t>
  </si>
  <si>
    <t>NIBNOTESPA</t>
  </si>
  <si>
    <t>NIB Notes paid [S-nibns]</t>
  </si>
  <si>
    <t>NIBNOTESRE/S-NIBRED</t>
  </si>
  <si>
    <t>NIBNOTESRE</t>
  </si>
  <si>
    <t>NIB notes redemptions by NLF to IMF [S-nibred]</t>
  </si>
  <si>
    <t>NICDD/NIC DD</t>
  </si>
  <si>
    <t>NICDD</t>
  </si>
  <si>
    <t>NIC dd [NIC dd]</t>
  </si>
  <si>
    <t>NICTONI</t>
  </si>
  <si>
    <t>NIC to NI [A-tnini]</t>
  </si>
  <si>
    <t>NICSTONIF</t>
  </si>
  <si>
    <t>NICs to NIF [AZ-tnif]</t>
  </si>
  <si>
    <t>NICSTONIF/DZ-TNIF</t>
  </si>
  <si>
    <t>NICs to NIF [DZ-tnif]</t>
  </si>
  <si>
    <t>NIFBENEFIT/D-P1CHPX</t>
  </si>
  <si>
    <t>NIFBENEFIT</t>
  </si>
  <si>
    <t>NIF Benefits Girobanks [D-p1chpx]</t>
  </si>
  <si>
    <t>NIF3/D-P1BACX</t>
  </si>
  <si>
    <t>NIF3</t>
  </si>
  <si>
    <t>NIF3 [D-p1bacx]</t>
  </si>
  <si>
    <t>NLDF/D-P1CHPX</t>
  </si>
  <si>
    <t>NLDF</t>
  </si>
  <si>
    <t>NLDF [D-p1chpx]</t>
  </si>
  <si>
    <t>NLF interest payments to IR for CTD &amp; TRC [AZ-nlfirint]</t>
  </si>
  <si>
    <t>NLF interest payments to IR for CTD and TRC [S-irctdint]</t>
  </si>
  <si>
    <t>NLFINTRPAY/D-NLFR</t>
  </si>
  <si>
    <t>NLFINTRPAY</t>
  </si>
  <si>
    <t>NLF interest repayments [D-nlfR]</t>
  </si>
  <si>
    <t>NLFMISCPAY/S-MISCP</t>
  </si>
  <si>
    <t>NLFMISCPAY</t>
  </si>
  <si>
    <t>NLF misc payments (Swing) [S-miscp]</t>
  </si>
  <si>
    <t>NLFPRINCIP/D-NLFP</t>
  </si>
  <si>
    <t>NLFPRINCIP</t>
  </si>
  <si>
    <t>NLF principal repayments [D-nlfP]</t>
  </si>
  <si>
    <t>NNDR/D-OIDRX</t>
  </si>
  <si>
    <t>NNDR</t>
  </si>
  <si>
    <t>NNDR [D-oidrx]</t>
  </si>
  <si>
    <t>NON-VATBAC/B-NOTVATBACS</t>
  </si>
  <si>
    <t>NON-VATBAC</t>
  </si>
  <si>
    <t>Non-VAT BACS Repayments [B-notvatbacs]</t>
  </si>
  <si>
    <t>NON-VATCHA/B-NONVATCHAPS</t>
  </si>
  <si>
    <t>NON-VATCHA</t>
  </si>
  <si>
    <t>Non-VAT CHAPS Repayments [B-nonvatchaps]</t>
  </si>
  <si>
    <t>NON-VATPAY/B-NONVATPO</t>
  </si>
  <si>
    <t>NON-VATPAY</t>
  </si>
  <si>
    <t>Non-VAT Payable Order Repayments [B-nonvatpo]</t>
  </si>
  <si>
    <t>NICUSTOMS/R-NICE</t>
  </si>
  <si>
    <t>NICUSTOMS</t>
  </si>
  <si>
    <t>Northern Ireland Customs &amp; Excise Transfer to CF [R-nice]</t>
  </si>
  <si>
    <t>NIOFFICE/D-P1CHPX</t>
  </si>
  <si>
    <t>NIOFFICE</t>
  </si>
  <si>
    <t>Northern Ireland Office [D-p1chpx]</t>
  </si>
  <si>
    <t>NS&amp;I Payments -Interest &amp; PSB Prizes payments [F-nspin]</t>
  </si>
  <si>
    <t>NS&amp;I Receipts [F-nsrec]</t>
  </si>
  <si>
    <t>NS&amp;I Total Forecast [F-nstot]</t>
  </si>
  <si>
    <t>NS&amp;I Ways &amp; Means into NLF [F-nswm]</t>
  </si>
  <si>
    <t>NTCWFTC/A-TIDX</t>
  </si>
  <si>
    <t>NTCWFTC</t>
  </si>
  <si>
    <t>NTC / WFTC [A-tidx]</t>
  </si>
  <si>
    <t>O/n Adjustment [D-pzzzz]</t>
  </si>
  <si>
    <t>OIL/B-DUTYX</t>
  </si>
  <si>
    <t>OIL</t>
  </si>
  <si>
    <t>Oil [B-dutyx]</t>
  </si>
  <si>
    <t>OPGTXFRFX/DZ-OPGFE</t>
  </si>
  <si>
    <t>OTHER-SOE</t>
  </si>
  <si>
    <t>OPGTXFRFX</t>
  </si>
  <si>
    <t>OPG Transfers to Bank's Foriegn Exchange Acc [DZ-opgfe]</t>
  </si>
  <si>
    <t>OPGTCFRIR/AZ-OPGIR</t>
  </si>
  <si>
    <t>OPGTCFRIR</t>
  </si>
  <si>
    <t>OPG transfers to IR [AZ-opgir]</t>
  </si>
  <si>
    <t>OPGTCFRIR/DZ-OPGIR</t>
  </si>
  <si>
    <t>OPG transfers to IR [DZ-opgir]</t>
  </si>
  <si>
    <t>ORDNANCESU/D-P1BACX</t>
  </si>
  <si>
    <t>ORDNANCESU</t>
  </si>
  <si>
    <t>Ordnance Survey [D-p1bacx]</t>
  </si>
  <si>
    <t>OTHER/B-DUTYX</t>
  </si>
  <si>
    <t>OTHER</t>
  </si>
  <si>
    <t>Other [B-dutyx]</t>
  </si>
  <si>
    <t>OTHERBOETR/D-OTHBOE</t>
  </si>
  <si>
    <t>OTHERBOETR</t>
  </si>
  <si>
    <t>Other BoE transfers [D-othboe]</t>
  </si>
  <si>
    <t>OTHERIDENT/D-P1BACX</t>
  </si>
  <si>
    <t>OTHERIDENT</t>
  </si>
  <si>
    <t>Other identified [D-p1bacx]</t>
  </si>
  <si>
    <t>OTHERIDENT/D-P1CHPX</t>
  </si>
  <si>
    <t>Other identified [D-p1chpx]</t>
  </si>
  <si>
    <t>OTHERPAY/D-P1BOETX</t>
  </si>
  <si>
    <t>OTHERPAY</t>
  </si>
  <si>
    <t>Other Identified Payments [D-p1boetx]</t>
  </si>
  <si>
    <t>OTHERRCPT/D-OIDR</t>
  </si>
  <si>
    <t>OTHERRCPT</t>
  </si>
  <si>
    <t>Other identified receipts [D-oidr]</t>
  </si>
  <si>
    <t>PAYMASTER/D-P1LOD</t>
  </si>
  <si>
    <t>PAYMASTER</t>
  </si>
  <si>
    <t>Paymaster Lodgement [D-p1lod]</t>
  </si>
  <si>
    <t>PAYROLL/D-P1BACX</t>
  </si>
  <si>
    <t>PAYROLL</t>
  </si>
  <si>
    <t>Payroll [D-p1bacx]</t>
  </si>
  <si>
    <t>PERSPEN/A-TIDX</t>
  </si>
  <si>
    <t>PERSPEN</t>
  </si>
  <si>
    <t>Personal Pensions [A-tidx]</t>
  </si>
  <si>
    <t>PERSPEN/D-P1BACX</t>
  </si>
  <si>
    <t>Personal Pensions [D-p1bacx]</t>
  </si>
  <si>
    <t>POI Dept (excl revaluation) paid to NLF [S-pofis]</t>
  </si>
  <si>
    <t>POLICEGRAN/D-P1BACX</t>
  </si>
  <si>
    <t>POLICEGRAN</t>
  </si>
  <si>
    <t>Police Grant [D-p1bacx]</t>
  </si>
  <si>
    <t>POLOAN/D-P1CHPX</t>
  </si>
  <si>
    <t>POLOAN</t>
  </si>
  <si>
    <t>Post Office Loan [D-p1chpx]</t>
  </si>
  <si>
    <t>POLOANREP/D-OIDRX</t>
  </si>
  <si>
    <t>POLOANREP</t>
  </si>
  <si>
    <t>Post Office loan repayment [D-oidrx]</t>
  </si>
  <si>
    <t>Principal repayments from NLF to NS&amp;I [F-nsppr]</t>
  </si>
  <si>
    <t>PROFITSOFI/I-POFI</t>
  </si>
  <si>
    <t>PROFITSOFI</t>
  </si>
  <si>
    <t>Profits of Issue [I-pofi]</t>
  </si>
  <si>
    <t>RBSCUMBERN/A-BSCOT</t>
  </si>
  <si>
    <t>RBS-SCO</t>
  </si>
  <si>
    <t>RBSCUMBERN</t>
  </si>
  <si>
    <t>RBS Cumbernauld [A-bscot]</t>
  </si>
  <si>
    <t>REDEMPTION/L-CHAPSRED</t>
  </si>
  <si>
    <t>REDEMPTION</t>
  </si>
  <si>
    <t>Redemption Payment by CHAPS [L-chapsred]</t>
  </si>
  <si>
    <t>RPAYCTDITR/AZ-CTDIREP</t>
  </si>
  <si>
    <t>RPAYCTDITR</t>
  </si>
  <si>
    <t>Repayment of CTD interest [AZ-ctdirep]</t>
  </si>
  <si>
    <t>RPAYCRDPRN/AZ-CTDPREP</t>
  </si>
  <si>
    <t>RPAYCRDPRN</t>
  </si>
  <si>
    <t>Repayment of CTD principal [AZ-ctdprep]</t>
  </si>
  <si>
    <t>RPAYMAT/S-OPGTDMAT</t>
  </si>
  <si>
    <t>RPAYMAT</t>
  </si>
  <si>
    <t>Repayment of maturing OPG TDs (incl interest) BACS [S-opgtdmat]</t>
  </si>
  <si>
    <t>RESEARCHCO/D-P1BACX</t>
  </si>
  <si>
    <t>RESEARCHCO</t>
  </si>
  <si>
    <t>Research Councils [D-p1bacx]</t>
  </si>
  <si>
    <t>RESEARCHCO/D-P1CHPX</t>
  </si>
  <si>
    <t>Research Councils [D-p1chpx]</t>
  </si>
  <si>
    <t>RESIDUAL</t>
  </si>
  <si>
    <t>Residual [A-resid]</t>
  </si>
  <si>
    <t>RESIDUAL/D-P1BACX</t>
  </si>
  <si>
    <t>Residual [D-p1bacx]</t>
  </si>
  <si>
    <t>RESIDUAL/D-P1CHPX</t>
  </si>
  <si>
    <t>Residual [D-p1chpx]</t>
  </si>
  <si>
    <t>RESIDUALCH/D-OIDRX</t>
  </si>
  <si>
    <t>RESIDUALCH</t>
  </si>
  <si>
    <t>Residual CHAPS receipts [D-oidrx]</t>
  </si>
  <si>
    <t>RSGENGLAND/D-P1BACX</t>
  </si>
  <si>
    <t>RSGENGLAND</t>
  </si>
  <si>
    <t>RSG England [D-p1bacx]</t>
  </si>
  <si>
    <t>RSGSCOTLAN/D-P1BACX</t>
  </si>
  <si>
    <t>SCOTGOV-SCO</t>
  </si>
  <si>
    <t>RSGSCOTLAN</t>
  </si>
  <si>
    <t>RSG Scotland [D-p1bacx]</t>
  </si>
  <si>
    <t>RSGWALES/D-P1BACX</t>
  </si>
  <si>
    <t>WELSHGOV-WAL</t>
  </si>
  <si>
    <t>RSGWALES</t>
  </si>
  <si>
    <t>RSG Wales [D-p1bacx]</t>
  </si>
  <si>
    <t>RURALPAYME/D-P1BACX</t>
  </si>
  <si>
    <t>RURALPAYME</t>
  </si>
  <si>
    <t>Rural Payments Agency [D-p1bacx]</t>
  </si>
  <si>
    <t>SCOTLANDNH/AZ-IROPGX</t>
  </si>
  <si>
    <t>NHS-SCO</t>
  </si>
  <si>
    <t>SCOTLANDNH</t>
  </si>
  <si>
    <t>Scotland NHS [AZ-iropgx]</t>
  </si>
  <si>
    <t>SCOTLANDNH/DZ-IROPGX</t>
  </si>
  <si>
    <t>Scotland NHS [DZ-iropgx]</t>
  </si>
  <si>
    <t>SCOTTISHEX/D-P1CHPX</t>
  </si>
  <si>
    <t>SCOTTISHEX</t>
  </si>
  <si>
    <t>Scottish Executive [D-p1chpx]</t>
  </si>
  <si>
    <t>SCOTTISHRE/B-SCOT</t>
  </si>
  <si>
    <t>SCOTTISHRE</t>
  </si>
  <si>
    <t>Scottish Receipts [B-scot]</t>
  </si>
  <si>
    <t>SF &amp; HEFC [D-p1bacx]</t>
  </si>
  <si>
    <t>SHEFC/D-P1BACX</t>
  </si>
  <si>
    <t>SHEFC</t>
  </si>
  <si>
    <t>SHEFC [D-p1bacx]</t>
  </si>
  <si>
    <t>SHIPLEYDEB/A-SHIPDC</t>
  </si>
  <si>
    <t>SHIPLEY-LON</t>
  </si>
  <si>
    <t>SHIPLEYDEB</t>
  </si>
  <si>
    <t>Shipley Debit Card Receipts [A-shipdc]</t>
  </si>
  <si>
    <t>SLC/D-P1BACX</t>
  </si>
  <si>
    <t>SLC</t>
  </si>
  <si>
    <t>SLC [D-p1bacx]</t>
  </si>
  <si>
    <t>SOCIALSECU/D-P1BACX</t>
  </si>
  <si>
    <t>SOCIALSECU</t>
  </si>
  <si>
    <t>Social Security benefits [D-p1bacx]</t>
  </si>
  <si>
    <t>SRC/D-P1CHPX</t>
  </si>
  <si>
    <t>SRC</t>
  </si>
  <si>
    <t>SRC [D-p1chpx]</t>
  </si>
  <si>
    <t>STUDENTGRA/D-P1CHPX</t>
  </si>
  <si>
    <t>STUDENTGRA</t>
  </si>
  <si>
    <t>Student grants [D-p1chpx]</t>
  </si>
  <si>
    <t>STUDENTLOA/D-P1BACX</t>
  </si>
  <si>
    <t>STUDENTLOA</t>
  </si>
  <si>
    <t>Student Loans [D-p1bacx]</t>
  </si>
  <si>
    <t>TAPS/B-DUTYX</t>
  </si>
  <si>
    <t>TAPS</t>
  </si>
  <si>
    <t>TAPS [B-dutyx]</t>
  </si>
  <si>
    <t>TDPRINCIPA/S-TDMAT</t>
  </si>
  <si>
    <t>TDPRINCIPA</t>
  </si>
  <si>
    <t>TD principal maturing (non-OPG) [S-tdmat]</t>
  </si>
  <si>
    <t>TSDMATINT/S-TDINT</t>
  </si>
  <si>
    <t>TSDMATINT</t>
  </si>
  <si>
    <t>TDs maturing (non-OPG) interest [S-tdint]</t>
  </si>
  <si>
    <t>TDSTKNN/S-TDRNONOPG</t>
  </si>
  <si>
    <t>TDSTKNN</t>
  </si>
  <si>
    <t>TDs taken (non-OPG) [S-tdrnonopg]</t>
  </si>
  <si>
    <t>TDSTKNO/S-TDROPG</t>
  </si>
  <si>
    <t>TDSTKNO</t>
  </si>
  <si>
    <t>TDs taken (OPG) [S-tdropg]</t>
  </si>
  <si>
    <t>TEACHERTRA/D-P1BACX</t>
  </si>
  <si>
    <t>TEACHERTRA</t>
  </si>
  <si>
    <t>Teacher Training Agency [D-p1bacx]</t>
  </si>
  <si>
    <t>TEACHERSSU/D-P1CHPX</t>
  </si>
  <si>
    <t>TEACHERSSU</t>
  </si>
  <si>
    <t>Teachers Superannuation [D-p1chpx]</t>
  </si>
  <si>
    <t>THEREST/B-DUTYX</t>
  </si>
  <si>
    <t>THEREST</t>
  </si>
  <si>
    <t>The Rest [B-dutyx]</t>
  </si>
  <si>
    <t>TOBACCO/B-DUTYX</t>
  </si>
  <si>
    <t>TOBACCO</t>
  </si>
  <si>
    <t>Tobacco [B-dutyx]</t>
  </si>
  <si>
    <t>TOTALCHQ/A-CHQTOT</t>
  </si>
  <si>
    <t>TOTALCHQ</t>
  </si>
  <si>
    <t>Total Cheques (HMRC Forecast) [A-chqtot]</t>
  </si>
  <si>
    <t>VATBACSREP/B-VRPAY</t>
  </si>
  <si>
    <t>VATBACSREP</t>
  </si>
  <si>
    <t>VAT BACS Repayments [B-vrpay]</t>
  </si>
  <si>
    <t>VATCHPSREC/B-VOTC</t>
  </si>
  <si>
    <t>VATCHPSREC</t>
  </si>
  <si>
    <t>VAT CHAPS Receipts [B-votc]</t>
  </si>
  <si>
    <t>VATCHPSREP/B-YRPAY</t>
  </si>
  <si>
    <t>VATCHPSREP</t>
  </si>
  <si>
    <t>VAT CHAPS Repayments [B-yrpay]</t>
  </si>
  <si>
    <t>VATIMPORT/B-DUTYX</t>
  </si>
  <si>
    <t>VATIMPORT</t>
  </si>
  <si>
    <t>VAT on imports [B-dutyx]</t>
  </si>
  <si>
    <t>VATPAYABLE/B-XRPAY</t>
  </si>
  <si>
    <t>VATPAYABLE</t>
  </si>
  <si>
    <t>VAT Payable Order Repayments [B-xrpay]</t>
  </si>
  <si>
    <t>WALESNHS/AZ-IROPGX</t>
  </si>
  <si>
    <t>NHS-WAL</t>
  </si>
  <si>
    <t>WALESNHS</t>
  </si>
  <si>
    <t>Wales NHS [AZ-iropgx]</t>
  </si>
  <si>
    <t>WALESNHS/DZ-IROPGX</t>
  </si>
  <si>
    <t>Wales NHS [DZ-iropgx]</t>
  </si>
  <si>
    <t>WARPENSION/D-P1BACX</t>
  </si>
  <si>
    <t>WARPENSION</t>
  </si>
  <si>
    <t>War Pensions Agency [D-p1bacx]</t>
  </si>
  <si>
    <t>WELSHOFFIC/D-P1CHPX</t>
  </si>
  <si>
    <t>WELSHOFFIC</t>
  </si>
  <si>
    <t>Welsh Office [D-p1chpx]</t>
  </si>
  <si>
    <t>WINESANDSP/B-DUTYX</t>
  </si>
  <si>
    <t>WINESANDSP</t>
  </si>
  <si>
    <t>Wines and Spirits [B-dutyx]</t>
  </si>
  <si>
    <t>IRBALANCET/AZ-IRCF</t>
  </si>
  <si>
    <t>Portfolio</t>
  </si>
  <si>
    <t>C:\demo-systems\std\systems\sal-prd\sys-3\data\deal_import2_in\</t>
  </si>
  <si>
    <t>Adjustments/A-adj/10-08-18/17:00</t>
  </si>
  <si>
    <t>0180522170000338</t>
  </si>
  <si>
    <t>Adjustments/A-adj/03-09-18/17:00</t>
  </si>
  <si>
    <t>0180522170000434</t>
  </si>
  <si>
    <t>Adjustments/A-adj/06-09-18/17:00</t>
  </si>
  <si>
    <t>0180522170000442</t>
  </si>
  <si>
    <t>Adjustments/A-adj/10-10-18/17:00</t>
  </si>
  <si>
    <t>0180522170000562</t>
  </si>
  <si>
    <t>Adjustments/B-adj/05-06-18/17:00</t>
  </si>
  <si>
    <t>0180522170000722</t>
  </si>
  <si>
    <t>Adjustments/B-adj/28-08-18/17:00</t>
  </si>
  <si>
    <t>0180522170001058</t>
  </si>
  <si>
    <t>Adjustments/B-adj/30-08-18/16:05</t>
  </si>
  <si>
    <t>6180522160501080</t>
  </si>
  <si>
    <t>Adjustments/B-adj/30-08-18/16:30</t>
  </si>
  <si>
    <t>7180522163001081</t>
  </si>
  <si>
    <t>Adjustments/B-adj/06-09-18/17:00</t>
  </si>
  <si>
    <t>0180522170001098</t>
  </si>
  <si>
    <t>Aggregates/B-dutyx/22-05-18/12:45</t>
  </si>
  <si>
    <t>2180522124501323</t>
  </si>
  <si>
    <t>Aggregates/B-dutyx/23-05-18/12:45</t>
  </si>
  <si>
    <t>2180522124501330</t>
  </si>
  <si>
    <t>Aggregates/B-dutyx/24-05-18/12:45</t>
  </si>
  <si>
    <t>2180522124501337</t>
  </si>
  <si>
    <t>Aggregates/B-dutyx/25-05-18/09:30</t>
  </si>
  <si>
    <t>1180522093001343</t>
  </si>
  <si>
    <t>Aggregates/B-dutyx/28-05-18/09:30</t>
  </si>
  <si>
    <t>1180522093001350</t>
  </si>
  <si>
    <t>Aggregates/B-dutyx/31-05-18/12:45</t>
  </si>
  <si>
    <t>2180522124501358</t>
  </si>
  <si>
    <t>Aggregates/B-dutyx/22-06-18/12:45</t>
  </si>
  <si>
    <t>2180522124501386</t>
  </si>
  <si>
    <t>Aggregates/B-dutyx/25-06-18/09:30</t>
  </si>
  <si>
    <t>1180522093001392</t>
  </si>
  <si>
    <t>Aggregates/B-dutyx/25-06-18/12:45</t>
  </si>
  <si>
    <t>2180522124501393</t>
  </si>
  <si>
    <t>Aggregates/B-dutyx/26-06-18/09:30</t>
  </si>
  <si>
    <t>1180522093001399</t>
  </si>
  <si>
    <t>Aggregates/B-dutyx/26-06-18/15:15</t>
  </si>
  <si>
    <t>4180522151501402</t>
  </si>
  <si>
    <t>Aggregates/B-dutyx/26-06-18/16:05</t>
  </si>
  <si>
    <t>6180522160501404</t>
  </si>
  <si>
    <t>Aggregates/B-dutyx/29-06-18/12:45</t>
  </si>
  <si>
    <t>2180522124501407</t>
  </si>
  <si>
    <t>Aggregates/B-dutyx/02-07-18/12:45</t>
  </si>
  <si>
    <t>2180522124501414</t>
  </si>
  <si>
    <t>Aggregates/B-dutyx/03-07-18/12:45</t>
  </si>
  <si>
    <t>2180522124501421</t>
  </si>
  <si>
    <t>Aggregates/B-dutyx/04-07-18/12:45</t>
  </si>
  <si>
    <t>2180522124501428</t>
  </si>
  <si>
    <t>Aggregates/B-dutyx/05-07-18/12:45</t>
  </si>
  <si>
    <t>2180522124501435</t>
  </si>
  <si>
    <t>Aggregates/B-dutyx/10-07-18/09:30</t>
  </si>
  <si>
    <t>1180522093001441</t>
  </si>
  <si>
    <t>Aggregates/B-dutyx/11-07-18/12:45</t>
  </si>
  <si>
    <t>2180522124501449</t>
  </si>
  <si>
    <t>Aggregates/B-dutyx/13-07-18/09:30</t>
  </si>
  <si>
    <t>1180522093001455</t>
  </si>
  <si>
    <t>Aggregates/B-dutyx/13-07-18/12:45</t>
  </si>
  <si>
    <t>2180522124501456</t>
  </si>
  <si>
    <t>Aggregates/B-dutyx/16-07-18/14:15</t>
  </si>
  <si>
    <t>3180522141501464</t>
  </si>
  <si>
    <t>Aggregates/B-dutyx/24-07-18/12:45</t>
  </si>
  <si>
    <t>2180522124501470</t>
  </si>
  <si>
    <t>Aggregates/B-dutyx/24-07-18/14:15</t>
  </si>
  <si>
    <t>3180522141501471</t>
  </si>
  <si>
    <t>Aggregates/B-dutyx/30-07-18/12:45</t>
  </si>
  <si>
    <t>2180522124501477</t>
  </si>
  <si>
    <t>Aggregates/B-dutyx/03-08-18/15:40</t>
  </si>
  <si>
    <t>5180522154001494</t>
  </si>
  <si>
    <t>Aggregates/B-dutyx/08-08-18/12:45</t>
  </si>
  <si>
    <t>2180522124501498</t>
  </si>
  <si>
    <t>Aggregates/B-dutyx/09-08-18/12:45</t>
  </si>
  <si>
    <t>2180522124501505</t>
  </si>
  <si>
    <t>Aggregates/B-dutyx/10-08-18/12:45</t>
  </si>
  <si>
    <t>2180522124501512</t>
  </si>
  <si>
    <t>Aggregates/B-dutyx/13-08-18/12:45</t>
  </si>
  <si>
    <t>2180522124501519</t>
  </si>
  <si>
    <t>Aggregates/B-dutyx/17-08-18/12:45</t>
  </si>
  <si>
    <t>2180522124501526</t>
  </si>
  <si>
    <t>Aggregates/B-dutyx/20-08-18/12:45</t>
  </si>
  <si>
    <t>2180522124501533</t>
  </si>
  <si>
    <t>Aggregates/B-dutyx/29-08-18/12:45</t>
  </si>
  <si>
    <t>2180522124501540</t>
  </si>
  <si>
    <t>Aggregates/B-dutyx/18-09-18/15:15</t>
  </si>
  <si>
    <t>4180522151501570</t>
  </si>
  <si>
    <t>Aggregates/B-dutyx/19-09-18/12:45</t>
  </si>
  <si>
    <t>2180522124501575</t>
  </si>
  <si>
    <t>Aggregates/B-dutyx/27-09-18/12:45</t>
  </si>
  <si>
    <t>2180522124501582</t>
  </si>
  <si>
    <t>Aggregates/B-dutyx/28-09-18/09:30</t>
  </si>
  <si>
    <t>1180522093001588</t>
  </si>
  <si>
    <t>Aggregates/B-dutyx/01-10-18/09:30</t>
  </si>
  <si>
    <t>1180522093001595</t>
  </si>
  <si>
    <t>Aggregates/B-dutyx/01-10-18/12:45</t>
  </si>
  <si>
    <t>2180522124501596</t>
  </si>
  <si>
    <t>Aggregates/B-dutyx/18-10-18/12:45</t>
  </si>
  <si>
    <t>2180522124501610</t>
  </si>
  <si>
    <t>Aggregates/B-dutyx/19-10-18/12:45</t>
  </si>
  <si>
    <t>2180522124501617</t>
  </si>
  <si>
    <t>Aggregates/B-dutyx/22-10-18/12:45</t>
  </si>
  <si>
    <t>2180522124501624</t>
  </si>
  <si>
    <t>Aggregates/B-dutyx/25-10-18/09:30</t>
  </si>
  <si>
    <t>1180522093001630</t>
  </si>
  <si>
    <t>Aggregates/B-dutyx/25-10-18/12:45</t>
  </si>
  <si>
    <t>2180522124501631</t>
  </si>
  <si>
    <t>Aggregates/B-dutyx/26-10-18/12:45</t>
  </si>
  <si>
    <t>2180522124501638</t>
  </si>
  <si>
    <t>Aggregates/B-dutyx/29-10-18/12:45</t>
  </si>
  <si>
    <t>2180522124501645</t>
  </si>
  <si>
    <t>Aggregates/B-dutyx/30-10-18/12:45</t>
  </si>
  <si>
    <t>2180522124501652</t>
  </si>
  <si>
    <t>Aggregates/B-dutyx/31-10-18/09:30</t>
  </si>
  <si>
    <t>1180522093001658</t>
  </si>
  <si>
    <t>Aggregates/B-dutyx/31-10-18/15:15</t>
  </si>
  <si>
    <t>4180522151501661</t>
  </si>
  <si>
    <t>Alliance &amp; Leicester/A-cgiro/22-05-18/17:00</t>
  </si>
  <si>
    <t>0180522170001665</t>
  </si>
  <si>
    <t>Alliance &amp; Leicester/A-cgiro/22-05-18/12:45</t>
  </si>
  <si>
    <t>2180522124501667</t>
  </si>
  <si>
    <t>Alliance &amp; Leicester/A-cgiro/23-05-18/17:00</t>
  </si>
  <si>
    <t>0180522170001673</t>
  </si>
  <si>
    <t>Alliance &amp; Leicester/A-cgiro/23-05-18/12:45</t>
  </si>
  <si>
    <t>2180522124501675</t>
  </si>
  <si>
    <t>Alliance &amp; Leicester/A-cgiro/24-05-18/17:00</t>
  </si>
  <si>
    <t>0180522170001681</t>
  </si>
  <si>
    <t>Alliance &amp; Leicester/A-cgiro/24-05-18/12:45</t>
  </si>
  <si>
    <t>2180522124501683</t>
  </si>
  <si>
    <t>Alliance &amp; Leicester/A-cgiro/25-05-18/17:00</t>
  </si>
  <si>
    <t>0180522170001689</t>
  </si>
  <si>
    <t>Alliance &amp; Leicester/A-cgiro/25-05-18/12:45</t>
  </si>
  <si>
    <t>2180522124501691</t>
  </si>
  <si>
    <t>Alliance &amp; Leicester/A-cgiro/28-05-18/17:00</t>
  </si>
  <si>
    <t>0180522170001697</t>
  </si>
  <si>
    <t>Alliance &amp; Leicester/A-cgiro/28-05-18/12:45</t>
  </si>
  <si>
    <t>2180522124501699</t>
  </si>
  <si>
    <t>Alliance &amp; Leicester/A-cgiro/31-05-18/17:00</t>
  </si>
  <si>
    <t>0180522170001705</t>
  </si>
  <si>
    <t>Alliance &amp; Leicester/A-cgiro/31-05-18/12:45</t>
  </si>
  <si>
    <t>2180522124501707</t>
  </si>
  <si>
    <t>Alliance &amp; Leicester/A-cgiro/01-06-18/17:00</t>
  </si>
  <si>
    <t>0180522170001713</t>
  </si>
  <si>
    <t>Alliance &amp; Leicester/A-cgiro/04-06-18/12:45</t>
  </si>
  <si>
    <t>2180522124501723</t>
  </si>
  <si>
    <t>Alliance &amp; Leicester/A-cgiro/05-06-18/17:00</t>
  </si>
  <si>
    <t>0180522170001729</t>
  </si>
  <si>
    <t>Alliance &amp; Leicester/A-cgiro/05-06-18/12:45</t>
  </si>
  <si>
    <t>2180522124501731</t>
  </si>
  <si>
    <t>Alliance &amp; Leicester/A-cgiro/06-06-18/17:00</t>
  </si>
  <si>
    <t>0180522170001737</t>
  </si>
  <si>
    <t>Alliance &amp; Leicester/A-cgiro/06-06-18/09:30</t>
  </si>
  <si>
    <t>1180522093001738</t>
  </si>
  <si>
    <t>Alliance &amp; Leicester/A-cgiro/11-06-18/17:00</t>
  </si>
  <si>
    <t>0180522170001745</t>
  </si>
  <si>
    <t>Alliance &amp; Leicester/A-cgiro/11-06-18/12:45</t>
  </si>
  <si>
    <t>2180522124501747</t>
  </si>
  <si>
    <t>Alliance &amp; Leicester/A-cgiro/12-06-18/17:00</t>
  </si>
  <si>
    <t>0180522170001753</t>
  </si>
  <si>
    <t>Alliance &amp; Leicester/A-cgiro/12-06-18/12:45</t>
  </si>
  <si>
    <t>2180522124501755</t>
  </si>
  <si>
    <t>Alliance &amp; Leicester/A-cgiro/13-06-18/17:00</t>
  </si>
  <si>
    <t>0180522170001761</t>
  </si>
  <si>
    <t>Alliance &amp; Leicester/A-cgiro/13-06-18/12:45</t>
  </si>
  <si>
    <t>2180522124501763</t>
  </si>
  <si>
    <t>Alliance &amp; Leicester/A-cgiro/14-06-18/17:00</t>
  </si>
  <si>
    <t>0180522170001769</t>
  </si>
  <si>
    <t>Alliance &amp; Leicester/A-cgiro/14-06-18/12:45</t>
  </si>
  <si>
    <t>2180522124501771</t>
  </si>
  <si>
    <t>Alliance &amp; Leicester/A-cgiro/15-06-18/17:00</t>
  </si>
  <si>
    <t>0180522170001777</t>
  </si>
  <si>
    <t>Alliance &amp; Leicester/A-cgiro/15-06-18/12:45</t>
  </si>
  <si>
    <t>2180522124501779</t>
  </si>
  <si>
    <t>Alliance &amp; Leicester/A-cgiro/20-06-18/17:00</t>
  </si>
  <si>
    <t>0180522170001785</t>
  </si>
  <si>
    <t>Alliance &amp; Leicester/A-cgiro/20-06-18/09:30</t>
  </si>
  <si>
    <t>1180522093001786</t>
  </si>
  <si>
    <t>Alliance &amp; Leicester/A-cgiro/21-06-18/17:00</t>
  </si>
  <si>
    <t>0180522170001793</t>
  </si>
  <si>
    <t>Alliance &amp; Leicester/A-cgiro/21-06-18/12:45</t>
  </si>
  <si>
    <t>2180522124501795</t>
  </si>
  <si>
    <t>Alliance &amp; Leicester/A-cgiro/21-06-18/16:30</t>
  </si>
  <si>
    <t>7180522163001800</t>
  </si>
  <si>
    <t>Alliance &amp; Leicester/A-cgiro/22-06-18/17:00</t>
  </si>
  <si>
    <t>0180522170001801</t>
  </si>
  <si>
    <t>Alliance &amp; Leicester/A-cgiro/22-06-18/12:45</t>
  </si>
  <si>
    <t>2180522124501803</t>
  </si>
  <si>
    <t>Alliance &amp; Leicester/A-cgiro/25-06-18/17:00</t>
  </si>
  <si>
    <t>0180522170001809</t>
  </si>
  <si>
    <t>Alliance &amp; Leicester/A-cgiro/25-06-18/12:45</t>
  </si>
  <si>
    <t>2180522124501811</t>
  </si>
  <si>
    <t>Alliance &amp; Leicester/A-cgiro/25-06-18/16:05</t>
  </si>
  <si>
    <t>6180522160501815</t>
  </si>
  <si>
    <t>Alliance &amp; Leicester/A-cgiro/26-06-18/17:00</t>
  </si>
  <si>
    <t>0180522170001817</t>
  </si>
  <si>
    <t>Alliance &amp; Leicester/A-cgiro/26-06-18/12:45</t>
  </si>
  <si>
    <t>2180522124501819</t>
  </si>
  <si>
    <t>Alliance &amp; Leicester/A-cgiro/29-06-18/17:00</t>
  </si>
  <si>
    <t>0180522170001825</t>
  </si>
  <si>
    <t>Alliance &amp; Leicester/A-cgiro/29-06-18/09:30</t>
  </si>
  <si>
    <t>1180522093001826</t>
  </si>
  <si>
    <t>Alliance &amp; Leicester/A-cgiro/29-06-18/12:45</t>
  </si>
  <si>
    <t>2180522124501827</t>
  </si>
  <si>
    <t>Alliance &amp; Leicester/A-cgiro/02-07-18/17:00</t>
  </si>
  <si>
    <t>0180522170001833</t>
  </si>
  <si>
    <t>Alliance &amp; Leicester/A-cgiro/02-07-18/12:45</t>
  </si>
  <si>
    <t>2180522124501835</t>
  </si>
  <si>
    <t>Alliance &amp; Leicester/A-cgiro/03-07-18/17:00</t>
  </si>
  <si>
    <t>0180522170001841</t>
  </si>
  <si>
    <t>Alliance &amp; Leicester/A-cgiro/03-07-18/12:45</t>
  </si>
  <si>
    <t>2180522124501843</t>
  </si>
  <si>
    <t>Alliance &amp; Leicester/A-cgiro/04-07-18/17:00</t>
  </si>
  <si>
    <t>0180522170001849</t>
  </si>
  <si>
    <t>Alliance &amp; Leicester/A-cgiro/04-07-18/09:30</t>
  </si>
  <si>
    <t>1180522093001850</t>
  </si>
  <si>
    <t>Alliance &amp; Leicester/A-cgiro/04-07-18/12:45</t>
  </si>
  <si>
    <t>2180522124501851</t>
  </si>
  <si>
    <t>Alliance &amp; Leicester/A-cgiro/05-07-18/17:00</t>
  </si>
  <si>
    <t>0180522170001857</t>
  </si>
  <si>
    <t>Alliance &amp; Leicester/A-cgiro/05-07-18/12:45</t>
  </si>
  <si>
    <t>2180522124501859</t>
  </si>
  <si>
    <t>Alliance &amp; Leicester/A-cgiro/10-07-18/17:00</t>
  </si>
  <si>
    <t>0180522170001865</t>
  </si>
  <si>
    <t>Alliance &amp; Leicester/A-cgiro/10-07-18/12:45</t>
  </si>
  <si>
    <t>2180522124501867</t>
  </si>
  <si>
    <t>Alliance &amp; Leicester/A-cgiro/11-07-18/17:00</t>
  </si>
  <si>
    <t>0180522170001873</t>
  </si>
  <si>
    <t>Alliance &amp; Leicester/A-cgiro/11-07-18/12:45</t>
  </si>
  <si>
    <t>2180522124501875</t>
  </si>
  <si>
    <t>Alliance &amp; Leicester/A-cgiro/12-07-18/17:00</t>
  </si>
  <si>
    <t>0180522170001881</t>
  </si>
  <si>
    <t>Alliance &amp; Leicester/A-cgiro/12-07-18/12:45</t>
  </si>
  <si>
    <t>2180522124501883</t>
  </si>
  <si>
    <t>Alliance &amp; Leicester/A-cgiro/13-07-18/17:00</t>
  </si>
  <si>
    <t>0180522170001889</t>
  </si>
  <si>
    <t>Alliance &amp; Leicester/A-cgiro/13-07-18/12:45</t>
  </si>
  <si>
    <t>2180522124501891</t>
  </si>
  <si>
    <t>Alliance &amp; Leicester/A-cgiro/16-07-18/17:00</t>
  </si>
  <si>
    <t>0180522170001897</t>
  </si>
  <si>
    <t>Alliance &amp; Leicester/A-cgiro/16-07-18/12:45</t>
  </si>
  <si>
    <t>2180522124501899</t>
  </si>
  <si>
    <t>Alliance &amp; Leicester/A-cgiro/19-07-18/17:00</t>
  </si>
  <si>
    <t>0180522170001905</t>
  </si>
  <si>
    <t>Alliance &amp; Leicester/A-cgiro/20-07-18/17:00</t>
  </si>
  <si>
    <t>0180522170001913</t>
  </si>
  <si>
    <t>Alliance &amp; Leicester/A-cgiro/20-07-18/12:45</t>
  </si>
  <si>
    <t>2180522124501915</t>
  </si>
  <si>
    <t>Alliance &amp; Leicester/A-cgiro/23-07-18/17:00</t>
  </si>
  <si>
    <t>0180522170001921</t>
  </si>
  <si>
    <t>Alliance &amp; Leicester/A-cgiro/23-07-18/12:45</t>
  </si>
  <si>
    <t>2180522124501923</t>
  </si>
  <si>
    <t>Alliance &amp; Leicester/A-cgiro/24-07-18/17:00</t>
  </si>
  <si>
    <t>0180522170001929</t>
  </si>
  <si>
    <t>Alliance &amp; Leicester/A-cgiro/24-07-18/12:45</t>
  </si>
  <si>
    <t>2180522124501931</t>
  </si>
  <si>
    <t>Alliance &amp; Leicester/A-cgiro/25-07-18/17:00</t>
  </si>
  <si>
    <t>0180522170001937</t>
  </si>
  <si>
    <t>Alliance &amp; Leicester/A-cgiro/25-07-18/12:45</t>
  </si>
  <si>
    <t>2180522124501939</t>
  </si>
  <si>
    <t>Alliance &amp; Leicester/A-cgiro/30-07-18/17:00</t>
  </si>
  <si>
    <t>0180522170001945</t>
  </si>
  <si>
    <t>Alliance &amp; Leicester/A-cgiro/30-07-18/12:45</t>
  </si>
  <si>
    <t>2180522124501947</t>
  </si>
  <si>
    <t>Alliance &amp; Leicester/A-cgiro/31-07-18/17:00</t>
  </si>
  <si>
    <t>0180522170001953</t>
  </si>
  <si>
    <t>Alliance &amp; Leicester/A-cgiro/31-07-18/12:45</t>
  </si>
  <si>
    <t>2180522124501955</t>
  </si>
  <si>
    <t>Alliance &amp; Leicester/A-cgiro/01-08-18/17:00</t>
  </si>
  <si>
    <t>0180522170001961</t>
  </si>
  <si>
    <t>Alliance &amp; Leicester/A-cgiro/01-08-18/12:45</t>
  </si>
  <si>
    <t>2180522124501963</t>
  </si>
  <si>
    <t>Alliance &amp; Leicester/A-cgiro/02-08-18/17:00</t>
  </si>
  <si>
    <t>0180522170001969</t>
  </si>
  <si>
    <t>Alliance &amp; Leicester/A-cgiro/02-08-18/12:45</t>
  </si>
  <si>
    <t>2180522124501971</t>
  </si>
  <si>
    <t>Alliance &amp; Leicester/A-cgiro/03-08-18/17:00</t>
  </si>
  <si>
    <t>0180522170001977</t>
  </si>
  <si>
    <t>Alliance &amp; Leicester/A-cgiro/03-08-18/12:45</t>
  </si>
  <si>
    <t>2180522124501979</t>
  </si>
  <si>
    <t>Alliance &amp; Leicester/A-cgiro/08-08-18/17:00</t>
  </si>
  <si>
    <t>0180522170001985</t>
  </si>
  <si>
    <t>Alliance &amp; Leicester/A-cgiro/08-08-18/12:45</t>
  </si>
  <si>
    <t>2180522124501987</t>
  </si>
  <si>
    <t>Alliance &amp; Leicester/A-cgiro/09-08-18/17:00</t>
  </si>
  <si>
    <t>0180522170001993</t>
  </si>
  <si>
    <t>Alliance &amp; Leicester/A-cgiro/09-08-18/12:45</t>
  </si>
  <si>
    <t>2180522124501995</t>
  </si>
  <si>
    <t>Alliance &amp; Leicester/A-cgiro/10-08-18/17:00</t>
  </si>
  <si>
    <t>0180522170002001</t>
  </si>
  <si>
    <t>Alliance &amp; Leicester/A-cgiro/10-08-18/09:30</t>
  </si>
  <si>
    <t>1180522093002002</t>
  </si>
  <si>
    <t>Alliance &amp; Leicester/A-cgiro/10-08-18/12:45</t>
  </si>
  <si>
    <t>2180522124502003</t>
  </si>
  <si>
    <t>Alliance &amp; Leicester/A-cgiro/13-08-18/17:00</t>
  </si>
  <si>
    <t>0180522170002009</t>
  </si>
  <si>
    <t>Alliance &amp; Leicester/A-cgiro/13-08-18/12:45</t>
  </si>
  <si>
    <t>2180522124502011</t>
  </si>
  <si>
    <t>Alliance &amp; Leicester/A-cgiro/14-08-18/17:00</t>
  </si>
  <si>
    <t>0180522170002017</t>
  </si>
  <si>
    <t>Alliance &amp; Leicester/A-cgiro/14-08-18/09:30</t>
  </si>
  <si>
    <t>1180522093002018</t>
  </si>
  <si>
    <t>Alliance &amp; Leicester/A-cgiro/14-08-18/12:45</t>
  </si>
  <si>
    <t>2180522124502019</t>
  </si>
  <si>
    <t>Alliance &amp; Leicester/A-cgiro/17-08-18/17:00</t>
  </si>
  <si>
    <t>0180522170002025</t>
  </si>
  <si>
    <t>Alliance &amp; Leicester/A-cgiro/17-08-18/12:45</t>
  </si>
  <si>
    <t>2180522124502027</t>
  </si>
  <si>
    <t>Alliance &amp; Leicester/A-cgiro/20-08-18/17:00</t>
  </si>
  <si>
    <t>0180522170002033</t>
  </si>
  <si>
    <t>Alliance &amp; Leicester/A-cgiro/20-08-18/12:45</t>
  </si>
  <si>
    <t>2180522124502035</t>
  </si>
  <si>
    <t>Alliance &amp; Leicester/A-cgiro/21-08-18/17:00</t>
  </si>
  <si>
    <t>0180522170002041</t>
  </si>
  <si>
    <t>Alliance &amp; Leicester/A-cgiro/21-08-18/12:45</t>
  </si>
  <si>
    <t>2180522124502043</t>
  </si>
  <si>
    <t>Alliance &amp; Leicester/A-cgiro/22-08-18/17:00</t>
  </si>
  <si>
    <t>0180522170002049</t>
  </si>
  <si>
    <t>Alliance &amp; Leicester/A-cgiro/22-08-18/12:45</t>
  </si>
  <si>
    <t>2180522124502051</t>
  </si>
  <si>
    <t>Alliance &amp; Leicester/A-cgiro/23-08-18/17:00</t>
  </si>
  <si>
    <t>0180522170002057</t>
  </si>
  <si>
    <t>Alliance &amp; Leicester/A-cgiro/23-08-18/12:45</t>
  </si>
  <si>
    <t>2180522124502059</t>
  </si>
  <si>
    <t>Alliance &amp; Leicester/A-cgiro/28-08-18/17:00</t>
  </si>
  <si>
    <t>0180522170002065</t>
  </si>
  <si>
    <t>Alliance &amp; Leicester/A-cgiro/28-08-18/09:30</t>
  </si>
  <si>
    <t>1180522093002066</t>
  </si>
  <si>
    <t>Alliance &amp; Leicester/A-cgiro/28-08-18/12:45</t>
  </si>
  <si>
    <t>2180522124502067</t>
  </si>
  <si>
    <t>Alliance &amp; Leicester/A-cgiro/29-08-18/17:00</t>
  </si>
  <si>
    <t>0180522170002073</t>
  </si>
  <si>
    <t>Alliance &amp; Leicester/A-cgiro/29-08-18/12:45</t>
  </si>
  <si>
    <t>2180522124502075</t>
  </si>
  <si>
    <t>Alliance &amp; Leicester/A-cgiro/30-08-18/17:00</t>
  </si>
  <si>
    <t>0180522170002081</t>
  </si>
  <si>
    <t>Alliance &amp; Leicester/A-cgiro/30-08-18/12:45</t>
  </si>
  <si>
    <t>2180522124502083</t>
  </si>
  <si>
    <t>Alliance &amp; Leicester/A-cgiro/31-08-18/17:00</t>
  </si>
  <si>
    <t>0180522170002089</t>
  </si>
  <si>
    <t>Alliance &amp; Leicester/A-cgiro/31-08-18/09:30</t>
  </si>
  <si>
    <t>1180522093002090</t>
  </si>
  <si>
    <t>Alliance &amp; Leicester/A-cgiro/31-08-18/12:45</t>
  </si>
  <si>
    <t>2180522124502091</t>
  </si>
  <si>
    <t>Alliance &amp; Leicester/A-cgiro/03-09-18/17:00</t>
  </si>
  <si>
    <t>0180522170002097</t>
  </si>
  <si>
    <t>Alliance &amp; Leicester/A-cgiro/03-09-18/12:45</t>
  </si>
  <si>
    <t>2180522124502099</t>
  </si>
  <si>
    <t>Alliance &amp; Leicester/A-cgiro/06-09-18/17:00</t>
  </si>
  <si>
    <t>0180522170002105</t>
  </si>
  <si>
    <t>Alliance &amp; Leicester/A-cgiro/06-09-18/12:45</t>
  </si>
  <si>
    <t>2180522124502107</t>
  </si>
  <si>
    <t>Alliance &amp; Leicester/A-cgiro/07-09-18/17:00</t>
  </si>
  <si>
    <t>0180522170002113</t>
  </si>
  <si>
    <t>Alliance &amp; Leicester/A-cgiro/07-09-18/12:45</t>
  </si>
  <si>
    <t>2180522124502115</t>
  </si>
  <si>
    <t>Alliance &amp; Leicester/A-cgiro/10-09-18/17:00</t>
  </si>
  <si>
    <t>0180522170002121</t>
  </si>
  <si>
    <t>Alliance &amp; Leicester/A-cgiro/10-09-18/12:45</t>
  </si>
  <si>
    <t>2180522124502123</t>
  </si>
  <si>
    <t>Alliance &amp; Leicester/A-cgiro/11-09-18/17:00</t>
  </si>
  <si>
    <t>0180522170002129</t>
  </si>
  <si>
    <t>Alliance &amp; Leicester/A-cgiro/11-09-18/12:45</t>
  </si>
  <si>
    <t>2180522124502131</t>
  </si>
  <si>
    <t>Alliance &amp; Leicester/A-cgiro/12-09-18/17:00</t>
  </si>
  <si>
    <t>0180522170002137</t>
  </si>
  <si>
    <t>Alliance &amp; Leicester/A-cgiro/12-09-18/12:45</t>
  </si>
  <si>
    <t>2180522124502139</t>
  </si>
  <si>
    <t>Alliance &amp; Leicester/A-cgiro/17-09-18/17:00</t>
  </si>
  <si>
    <t>0180522170002145</t>
  </si>
  <si>
    <t>Alliance &amp; Leicester/A-cgiro/17-09-18/12:45</t>
  </si>
  <si>
    <t>2180522124502147</t>
  </si>
  <si>
    <t>Alliance &amp; Leicester/A-cgiro/18-09-18/17:00</t>
  </si>
  <si>
    <t>0180522170002153</t>
  </si>
  <si>
    <t>Alliance &amp; Leicester/A-cgiro/18-09-18/12:45</t>
  </si>
  <si>
    <t>2180522124502155</t>
  </si>
  <si>
    <t>Alliance &amp; Leicester/A-cgiro/19-09-18/17:00</t>
  </si>
  <si>
    <t>0180522170002161</t>
  </si>
  <si>
    <t>Alliance &amp; Leicester/A-cgiro/19-09-18/12:45</t>
  </si>
  <si>
    <t>2180522124502163</t>
  </si>
  <si>
    <t>Alliance &amp; Leicester/A-cgiro/20-09-18/17:00</t>
  </si>
  <si>
    <t>0180522170002169</t>
  </si>
  <si>
    <t>Alliance &amp; Leicester/A-cgiro/20-09-18/12:45</t>
  </si>
  <si>
    <t>2180522124502171</t>
  </si>
  <si>
    <t>Alliance &amp; Leicester/A-cgiro/27-09-18/17:00</t>
  </si>
  <si>
    <t>0180522170002177</t>
  </si>
  <si>
    <t>Alliance &amp; Leicester/A-cgiro/27-09-18/12:45</t>
  </si>
  <si>
    <t>2180522124502179</t>
  </si>
  <si>
    <t>Alliance &amp; Leicester/A-cgiro/28-09-18/17:00</t>
  </si>
  <si>
    <t>0180522170002185</t>
  </si>
  <si>
    <t>Alliance &amp; Leicester/A-cgiro/28-09-18/09:30</t>
  </si>
  <si>
    <t>1180522093002186</t>
  </si>
  <si>
    <t>Alliance &amp; Leicester/A-cgiro/01-10-18/17:00</t>
  </si>
  <si>
    <t>0180522170002193</t>
  </si>
  <si>
    <t>Alliance &amp; Leicester/A-cgiro/01-10-18/12:45</t>
  </si>
  <si>
    <t>2180522124502195</t>
  </si>
  <si>
    <t>Alliance &amp; Leicester/A-cgiro/02-10-18/17:00</t>
  </si>
  <si>
    <t>0180522170002201</t>
  </si>
  <si>
    <t>Alliance &amp; Leicester/A-cgiro/02-10-18/09:30</t>
  </si>
  <si>
    <t>1180522093002202</t>
  </si>
  <si>
    <t>Alliance &amp; Leicester/A-cgiro/02-10-18/12:45</t>
  </si>
  <si>
    <t>2180522124502203</t>
  </si>
  <si>
    <t>Alliance &amp; Leicester/A-cgiro/05-10-18/17:00</t>
  </si>
  <si>
    <t>0180522170002209</t>
  </si>
  <si>
    <t>Alliance &amp; Leicester/A-cgiro/05-10-18/12:45</t>
  </si>
  <si>
    <t>2180522124502211</t>
  </si>
  <si>
    <t>Alliance &amp; Leicester/A-cgiro/08-10-18/17:00</t>
  </si>
  <si>
    <t>0180522170002217</t>
  </si>
  <si>
    <t>Alliance &amp; Leicester/A-cgiro/08-10-18/12:45</t>
  </si>
  <si>
    <t>2180522124502219</t>
  </si>
  <si>
    <t>Alliance &amp; Leicester/A-cgiro/09-10-18/17:00</t>
  </si>
  <si>
    <t>0180522170002225</t>
  </si>
  <si>
    <t>Alliance &amp; Leicester/A-cgiro/09-10-18/12:45</t>
  </si>
  <si>
    <t>2180522124502227</t>
  </si>
  <si>
    <t>Alliance &amp; Leicester/A-cgiro/10-10-18/17:00</t>
  </si>
  <si>
    <t>0180522170002233</t>
  </si>
  <si>
    <t>Alliance &amp; Leicester/A-cgiro/10-10-18/12:45</t>
  </si>
  <si>
    <t>2180522124502235</t>
  </si>
  <si>
    <t>Alliance &amp; Leicester/A-cgiro/11-10-18/17:00</t>
  </si>
  <si>
    <t>0180522170002241</t>
  </si>
  <si>
    <t>Alliance &amp; Leicester/A-cgiro/11-10-18/16:05</t>
  </si>
  <si>
    <t>6180522160502247</t>
  </si>
  <si>
    <t>Alliance &amp; Leicester/A-cgiro/16-10-18/17:00</t>
  </si>
  <si>
    <t>0180522170002249</t>
  </si>
  <si>
    <t>Alliance &amp; Leicester/A-cgiro/16-10-18/12:45</t>
  </si>
  <si>
    <t>2180522124502251</t>
  </si>
  <si>
    <t>Alliance &amp; Leicester/A-cgiro/17-10-18/17:00</t>
  </si>
  <si>
    <t>0180522170002257</t>
  </si>
  <si>
    <t>Alliance &amp; Leicester/A-cgiro/17-10-18/12:45</t>
  </si>
  <si>
    <t>2180522124502259</t>
  </si>
  <si>
    <t>Alliance &amp; Leicester/A-cgiro/18-10-18/17:00</t>
  </si>
  <si>
    <t>0180522170002265</t>
  </si>
  <si>
    <t>Alliance &amp; Leicester/A-cgiro/18-10-18/12:45</t>
  </si>
  <si>
    <t>2180522124502267</t>
  </si>
  <si>
    <t>Alliance &amp; Leicester/A-cgiro/19-10-18/17:00</t>
  </si>
  <si>
    <t>0180522170002273</t>
  </si>
  <si>
    <t>Alliance &amp; Leicester/A-cgiro/19-10-18/12:45</t>
  </si>
  <si>
    <t>2180522124502275</t>
  </si>
  <si>
    <t>Alliance &amp; Leicester/A-cgiro/22-10-18/17:00</t>
  </si>
  <si>
    <t>0180522170002281</t>
  </si>
  <si>
    <t>Alliance &amp; Leicester/A-cgiro/22-10-18/12:45</t>
  </si>
  <si>
    <t>2180522124502283</t>
  </si>
  <si>
    <t>Alliance &amp; Leicester/A-cgiro/25-10-18/17:00</t>
  </si>
  <si>
    <t>0180522170002289</t>
  </si>
  <si>
    <t>Alliance &amp; Leicester/A-cgiro/25-10-18/12:45</t>
  </si>
  <si>
    <t>2180522124502291</t>
  </si>
  <si>
    <t>Alliance &amp; Leicester/A-cgiro/26-10-18/17:00</t>
  </si>
  <si>
    <t>0180522170002297</t>
  </si>
  <si>
    <t>Alliance &amp; Leicester/A-cgiro/26-10-18/12:45</t>
  </si>
  <si>
    <t>2180522124502299</t>
  </si>
  <si>
    <t>Alliance &amp; Leicester/A-cgiro/29-10-18/17:00</t>
  </si>
  <si>
    <t>0180522170002305</t>
  </si>
  <si>
    <t>Alliance &amp; Leicester/A-cgiro/29-10-18/12:45</t>
  </si>
  <si>
    <t>2180522124502307</t>
  </si>
  <si>
    <t>Alliance &amp; Leicester/A-cgiro/30-10-18/17:00</t>
  </si>
  <si>
    <t>0180522170002313</t>
  </si>
  <si>
    <t>Alliance &amp; Leicester/A-cgiro/30-10-18/09:30</t>
  </si>
  <si>
    <t>1180522093002314</t>
  </si>
  <si>
    <t>Alliance &amp; Leicester/A-cgiro/30-10-18/12:45</t>
  </si>
  <si>
    <t>2180522124502315</t>
  </si>
  <si>
    <t>Alliance &amp; Leicester/A-cgiro/31-10-18/17:00</t>
  </si>
  <si>
    <t>0180522170002321</t>
  </si>
  <si>
    <t>Alliance &amp; Leicester/A-cgiro/31-10-18/12:45</t>
  </si>
  <si>
    <t>2180522124502323</t>
  </si>
  <si>
    <t>Miscellaneous/B-dutyx/22-05-18/14:15</t>
  </si>
  <si>
    <t>3180522141532417</t>
  </si>
  <si>
    <t>Miscellaneous/B-dutyx/23-05-18/12:45</t>
  </si>
  <si>
    <t>2180522124532423</t>
  </si>
  <si>
    <t>Miscellaneous/B-dutyx/24-05-18/12:45</t>
  </si>
  <si>
    <t>2180522124532430</t>
  </si>
  <si>
    <t>Miscellaneous/B-dutyx/24-05-18/14:15</t>
  </si>
  <si>
    <t>3180522141532431</t>
  </si>
  <si>
    <t>Miscellaneous/B-dutyx/24-05-18/15:15</t>
  </si>
  <si>
    <t>4180522151532432</t>
  </si>
  <si>
    <t>Miscellaneous/B-dutyx/01-06-18/12:45</t>
  </si>
  <si>
    <t>2180522124532437</t>
  </si>
  <si>
    <t>Miscellaneous/B-dutyx/04-06-18/12:45</t>
  </si>
  <si>
    <t>2180522124532444</t>
  </si>
  <si>
    <t>Miscellaneous/B-dutyx/04-06-18/14:15</t>
  </si>
  <si>
    <t>3180522141532445</t>
  </si>
  <si>
    <t>Miscellaneous/B-dutyx/04-06-18/15:15</t>
  </si>
  <si>
    <t>4180522151532446</t>
  </si>
  <si>
    <t>Miscellaneous/B-dutyx/05-06-18/09:30</t>
  </si>
  <si>
    <t>1180522093032450</t>
  </si>
  <si>
    <t>Miscellaneous/B-dutyx/05-06-18/12:45</t>
  </si>
  <si>
    <t>2180522124532451</t>
  </si>
  <si>
    <t>Miscellaneous/B-dutyx/05-06-18/14:15</t>
  </si>
  <si>
    <t>3180522141532452</t>
  </si>
  <si>
    <t>Miscellaneous/B-dutyx/05-06-18/15:40</t>
  </si>
  <si>
    <t>5180522154032454</t>
  </si>
  <si>
    <t>Miscellaneous/B-dutyx/05-06-18/16:05</t>
  </si>
  <si>
    <t>6180522160532455</t>
  </si>
  <si>
    <t>Miscellaneous/B-dutyx/06-06-18/09:30</t>
  </si>
  <si>
    <t>1180522093032457</t>
  </si>
  <si>
    <t>Miscellaneous/B-dutyx/06-06-18/14:15</t>
  </si>
  <si>
    <t>3180522141532459</t>
  </si>
  <si>
    <t>Miscellaneous/B-dutyx/06-06-18/15:40</t>
  </si>
  <si>
    <t>5180522154032461</t>
  </si>
  <si>
    <t>Miscellaneous/B-dutyx/11-06-18/12:45</t>
  </si>
  <si>
    <t>2180522124532465</t>
  </si>
  <si>
    <t>Miscellaneous/B-dutyx/12-06-18/12:45</t>
  </si>
  <si>
    <t>2180522124532472</t>
  </si>
  <si>
    <t>Miscellaneous/B-dutyx/12-06-18/14:15</t>
  </si>
  <si>
    <t>3180522141532473</t>
  </si>
  <si>
    <t>Miscellaneous/B-dutyx/13-06-18/14:15</t>
  </si>
  <si>
    <t>3180522141532480</t>
  </si>
  <si>
    <t>Miscellaneous/B-dutyx/14-06-18/12:45</t>
  </si>
  <si>
    <t>2180522124532486</t>
  </si>
  <si>
    <t>Miscellaneous/B-dutyx/14-06-18/14:15</t>
  </si>
  <si>
    <t>3180522141532487</t>
  </si>
  <si>
    <t>Miscellaneous/B-dutyx/14-06-18/15:15</t>
  </si>
  <si>
    <t>4180522151532488</t>
  </si>
  <si>
    <t>Miscellaneous/B-dutyx/14-06-18/16:05</t>
  </si>
  <si>
    <t>6180522160532490</t>
  </si>
  <si>
    <t>Miscellaneous/B-dutyx/15-06-18/12:45</t>
  </si>
  <si>
    <t>2180522124532493</t>
  </si>
  <si>
    <t>Miscellaneous/B-dutyx/15-06-18/15:15</t>
  </si>
  <si>
    <t>4180522151532495</t>
  </si>
  <si>
    <t>Miscellaneous/B-dutyx/21-06-18/09:30</t>
  </si>
  <si>
    <t>1180522093032499</t>
  </si>
  <si>
    <t>Miscellaneous/B-dutyx/21-06-18/12:45</t>
  </si>
  <si>
    <t>2180522124532500</t>
  </si>
  <si>
    <t>Miscellaneous/B-dutyx/21-06-18/14:15</t>
  </si>
  <si>
    <t>3180522141532501</t>
  </si>
  <si>
    <t>Miscellaneous/B-dutyx/21-06-18/15:15</t>
  </si>
  <si>
    <t>4180522151532502</t>
  </si>
  <si>
    <t>Miscellaneous/B-dutyx/21-06-18/15:40</t>
  </si>
  <si>
    <t>5180522154032503</t>
  </si>
  <si>
    <t>Miscellaneous/B-dutyx/21-06-18/16:05</t>
  </si>
  <si>
    <t>6180522160532504</t>
  </si>
  <si>
    <t>Miscellaneous/B-dutyx/22-06-18/09:30</t>
  </si>
  <si>
    <t>1180522093032506</t>
  </si>
  <si>
    <t>Miscellaneous/B-dutyx/22-06-18/12:45</t>
  </si>
  <si>
    <t>2180522124532507</t>
  </si>
  <si>
    <t>Miscellaneous/B-dutyx/22-06-18/14:15</t>
  </si>
  <si>
    <t>3180522141532508</t>
  </si>
  <si>
    <t>Miscellaneous/B-dutyx/22-06-18/15:15</t>
  </si>
  <si>
    <t>4180522151532509</t>
  </si>
  <si>
    <t>Miscellaneous/B-dutyx/22-06-18/15:40</t>
  </si>
  <si>
    <t>5180522154032510</t>
  </si>
  <si>
    <t>Miscellaneous/B-dutyx/25-06-18/09:30</t>
  </si>
  <si>
    <t>1180522093032513</t>
  </si>
  <si>
    <t>Miscellaneous/B-dutyx/25-06-18/12:45</t>
  </si>
  <si>
    <t>2180522124532514</t>
  </si>
  <si>
    <t>Miscellaneous/B-dutyx/25-06-18/14:15</t>
  </si>
  <si>
    <t>3180522141532515</t>
  </si>
  <si>
    <t>Miscellaneous/B-dutyx/25-06-18/15:40</t>
  </si>
  <si>
    <t>5180522154032517</t>
  </si>
  <si>
    <t>Miscellaneous/B-dutyx/26-06-18/09:30</t>
  </si>
  <si>
    <t>1180522093032520</t>
  </si>
  <si>
    <t>Miscellaneous/B-dutyx/29-06-18/15:40</t>
  </si>
  <si>
    <t>5180522154032531</t>
  </si>
  <si>
    <t>Miscellaneous/B-dutyx/02-07-18/14:15</t>
  </si>
  <si>
    <t>3180522141532536</t>
  </si>
  <si>
    <t>Miscellaneous/B-dutyx/03-07-18/09:30</t>
  </si>
  <si>
    <t>1180522093032541</t>
  </si>
  <si>
    <t>Miscellaneous/B-dutyx/03-07-18/12:45</t>
  </si>
  <si>
    <t>2180522124532542</t>
  </si>
  <si>
    <t>Miscellaneous/B-dutyx/03-07-18/14:15</t>
  </si>
  <si>
    <t>3180522141532543</t>
  </si>
  <si>
    <t>Miscellaneous/B-dutyx/03-07-18/15:40</t>
  </si>
  <si>
    <t>5180522154032545</t>
  </si>
  <si>
    <t>Miscellaneous/B-dutyx/05-07-18/12:45</t>
  </si>
  <si>
    <t>2180522124532549</t>
  </si>
  <si>
    <t>Miscellaneous/B-dutyx/10-07-18/09:30</t>
  </si>
  <si>
    <t>1180522093032555</t>
  </si>
  <si>
    <t>Miscellaneous/B-dutyx/10-07-18/12:45</t>
  </si>
  <si>
    <t>2180522124532556</t>
  </si>
  <si>
    <t>Miscellaneous/B-dutyx/10-07-18/14:15</t>
  </si>
  <si>
    <t>3180522141532557</t>
  </si>
  <si>
    <t>Miscellaneous/B-dutyx/11-07-18/12:45</t>
  </si>
  <si>
    <t>2180522124532563</t>
  </si>
  <si>
    <t>Miscellaneous/B-dutyx/11-07-18/16:30</t>
  </si>
  <si>
    <t>7180522163032568</t>
  </si>
  <si>
    <t>Miscellaneous/B-dutyx/13-07-18/14:15</t>
  </si>
  <si>
    <t>3180522141532578</t>
  </si>
  <si>
    <t>Miscellaneous/B-dutyx/16-07-18/12:45</t>
  </si>
  <si>
    <t>2180522124532584</t>
  </si>
  <si>
    <t>Miscellaneous/B-dutyx/16-07-18/16:05</t>
  </si>
  <si>
    <t>6180522160532588</t>
  </si>
  <si>
    <t>Miscellaneous/B-dutyx/19-07-18/09:30</t>
  </si>
  <si>
    <t>1180522093032590</t>
  </si>
  <si>
    <t>Miscellaneous/B-dutyx/19-07-18/12:45</t>
  </si>
  <si>
    <t>2180522124532591</t>
  </si>
  <si>
    <t>Miscellaneous/B-dutyx/20-07-18/15:15</t>
  </si>
  <si>
    <t>4180522151532600</t>
  </si>
  <si>
    <t>Miscellaneous/B-dutyx/23-07-18/12:45</t>
  </si>
  <si>
    <t>2180522124532605</t>
  </si>
  <si>
    <t>Miscellaneous/B-dutyx/23-07-18/14:15</t>
  </si>
  <si>
    <t>3180522141532606</t>
  </si>
  <si>
    <t>Miscellaneous/B-dutyx/24-07-18/09:30</t>
  </si>
  <si>
    <t>1180522093032611</t>
  </si>
  <si>
    <t>Miscellaneous/B-dutyx/24-07-18/12:45</t>
  </si>
  <si>
    <t>2180522124532612</t>
  </si>
  <si>
    <t>Miscellaneous/B-dutyx/01-08-18/12:45</t>
  </si>
  <si>
    <t>2180522124532626</t>
  </si>
  <si>
    <t>Miscellaneous/B-dutyx/01-08-18/14:15</t>
  </si>
  <si>
    <t>3180522141532627</t>
  </si>
  <si>
    <t>Miscellaneous/B-dutyx/01-08-18/15:40</t>
  </si>
  <si>
    <t>5180522154032629</t>
  </si>
  <si>
    <t>Miscellaneous/B-dutyx/02-08-18/12:45</t>
  </si>
  <si>
    <t>2180522124532633</t>
  </si>
  <si>
    <t>Miscellaneous/B-dutyx/02-08-18/15:15</t>
  </si>
  <si>
    <t>4180522151532635</t>
  </si>
  <si>
    <t>Miscellaneous/B-dutyx/03-08-18/09:30</t>
  </si>
  <si>
    <t>1180522093032639</t>
  </si>
  <si>
    <t>Miscellaneous/B-dutyx/03-08-18/12:45</t>
  </si>
  <si>
    <t>2180522124532640</t>
  </si>
  <si>
    <t>Miscellaneous/B-dutyx/03-08-18/15:15</t>
  </si>
  <si>
    <t>4180522151532642</t>
  </si>
  <si>
    <t>Miscellaneous/B-dutyx/03-08-18/15:40</t>
  </si>
  <si>
    <t>5180522154032643</t>
  </si>
  <si>
    <t>Miscellaneous/B-dutyx/08-08-18/12:45</t>
  </si>
  <si>
    <t>2180522124532647</t>
  </si>
  <si>
    <t>Miscellaneous/B-dutyx/08-08-18/14:15</t>
  </si>
  <si>
    <t>3180522141532648</t>
  </si>
  <si>
    <t>Miscellaneous/B-dutyx/08-08-18/15:15</t>
  </si>
  <si>
    <t>4180522151532649</t>
  </si>
  <si>
    <t>Miscellaneous/B-dutyx/08-08-18/16:05</t>
  </si>
  <si>
    <t>6180522160532651</t>
  </si>
  <si>
    <t>Miscellaneous/B-dutyx/09-08-18/09:30</t>
  </si>
  <si>
    <t>1180522093032653</t>
  </si>
  <si>
    <t>Miscellaneous/B-dutyx/09-08-18/15:15</t>
  </si>
  <si>
    <t>4180522151532656</t>
  </si>
  <si>
    <t>Miscellaneous/B-dutyx/09-08-18/15:40</t>
  </si>
  <si>
    <t>5180522154032657</t>
  </si>
  <si>
    <t>Miscellaneous/B-dutyx/09-08-18/16:05</t>
  </si>
  <si>
    <t>6180522160532658</t>
  </si>
  <si>
    <t>Miscellaneous/B-dutyx/14-08-18/12:45</t>
  </si>
  <si>
    <t>2180522124532661</t>
  </si>
  <si>
    <t>Miscellaneous/B-dutyx/14-08-18/16:05</t>
  </si>
  <si>
    <t>6180522160532665</t>
  </si>
  <si>
    <t>Miscellaneous/B-dutyx/17-08-18/12:45</t>
  </si>
  <si>
    <t>2180522124532668</t>
  </si>
  <si>
    <t>Miscellaneous/B-dutyx/17-08-18/14:15</t>
  </si>
  <si>
    <t>3180522141532669</t>
  </si>
  <si>
    <t>Miscellaneous/B-dutyx/17-08-18/15:15</t>
  </si>
  <si>
    <t>4180522151532670</t>
  </si>
  <si>
    <t>Miscellaneous/B-dutyx/22-08-18/12:45</t>
  </si>
  <si>
    <t>2180522124532675</t>
  </si>
  <si>
    <t>Miscellaneous/B-dutyx/22-08-18/14:15</t>
  </si>
  <si>
    <t>3180522141532676</t>
  </si>
  <si>
    <t>Miscellaneous/B-dutyx/22-08-18/16:05</t>
  </si>
  <si>
    <t>6180522160532679</t>
  </si>
  <si>
    <t>Miscellaneous/B-dutyx/23-08-18/09:30</t>
  </si>
  <si>
    <t>1180522093032681</t>
  </si>
  <si>
    <t>Miscellaneous/B-dutyx/23-08-18/12:45</t>
  </si>
  <si>
    <t>2180522124532682</t>
  </si>
  <si>
    <t>Miscellaneous/B-dutyx/23-08-18/16:05</t>
  </si>
  <si>
    <t>6180522160532686</t>
  </si>
  <si>
    <t>Miscellaneous/B-dutyx/28-08-18/14:15</t>
  </si>
  <si>
    <t>3180522141532690</t>
  </si>
  <si>
    <t>Miscellaneous/B-dutyx/28-08-18/16:05</t>
  </si>
  <si>
    <t>6180522160532693</t>
  </si>
  <si>
    <t>Miscellaneous/B-dutyx/29-08-18/12:45</t>
  </si>
  <si>
    <t>2180522124532696</t>
  </si>
  <si>
    <t>Miscellaneous/B-dutyx/30-08-18/09:30</t>
  </si>
  <si>
    <t>1180522093032702</t>
  </si>
  <si>
    <t>Miscellaneous/B-dutyx/30-08-18/12:45</t>
  </si>
  <si>
    <t>2180522124532703</t>
  </si>
  <si>
    <t>Miscellaneous/B-dutyx/31-08-18/12:45</t>
  </si>
  <si>
    <t>2180522124532710</t>
  </si>
  <si>
    <t>Miscellaneous/B-dutyx/31-08-18/16:05</t>
  </si>
  <si>
    <t>6180522160532714</t>
  </si>
  <si>
    <t>Miscellaneous/B-dutyx/06-09-18/15:15</t>
  </si>
  <si>
    <t>4180522151532719</t>
  </si>
  <si>
    <t>Miscellaneous/B-dutyx/10-09-18/12:45</t>
  </si>
  <si>
    <t>2180522124532724</t>
  </si>
  <si>
    <t>Miscellaneous/B-dutyx/11-09-18/12:45</t>
  </si>
  <si>
    <t>2180522124532731</t>
  </si>
  <si>
    <t>Miscellaneous/B-dutyx/12-09-18/12:45</t>
  </si>
  <si>
    <t>2180522124532738</t>
  </si>
  <si>
    <t>Miscellaneous/B-dutyx/12-09-18/14:15</t>
  </si>
  <si>
    <t>3180522141532739</t>
  </si>
  <si>
    <t>Miscellaneous/B-dutyx/12-09-18/15:15</t>
  </si>
  <si>
    <t>4180522151532740</t>
  </si>
  <si>
    <t>Miscellaneous/B-dutyx/17-09-18/14:15</t>
  </si>
  <si>
    <t>3180522141532746</t>
  </si>
  <si>
    <t>Miscellaneous/B-dutyx/18-09-18/09:30</t>
  </si>
  <si>
    <t>1180522093032751</t>
  </si>
  <si>
    <t>Miscellaneous/B-dutyx/18-09-18/12:45</t>
  </si>
  <si>
    <t>2180522124532752</t>
  </si>
  <si>
    <t>Miscellaneous/B-dutyx/18-09-18/14:15</t>
  </si>
  <si>
    <t>3180522141532753</t>
  </si>
  <si>
    <t>Miscellaneous/B-dutyx/18-09-18/15:40</t>
  </si>
  <si>
    <t>5180522154032755</t>
  </si>
  <si>
    <t>Miscellaneous/B-dutyx/20-09-18/14:15</t>
  </si>
  <si>
    <t>3180522141532760</t>
  </si>
  <si>
    <t>Miscellaneous/B-dutyx/09-10-18/12:45</t>
  </si>
  <si>
    <t>2180522124532780</t>
  </si>
  <si>
    <t>Miscellaneous/B-dutyx/09-10-18/15:15</t>
  </si>
  <si>
    <t>4180522151532782</t>
  </si>
  <si>
    <t>Miscellaneous/B-dutyx/10-10-18/09:30</t>
  </si>
  <si>
    <t>1180522093032786</t>
  </si>
  <si>
    <t>Miscellaneous/B-dutyx/11-10-18/14:15</t>
  </si>
  <si>
    <t>3180522141532795</t>
  </si>
  <si>
    <t>Miscellaneous/B-dutyx/18-10-18/09:30</t>
  </si>
  <si>
    <t>1180522093032800</t>
  </si>
  <si>
    <t>Miscellaneous/B-dutyx/18-10-18/12:45</t>
  </si>
  <si>
    <t>2180522124532801</t>
  </si>
  <si>
    <t>Miscellaneous/B-dutyx/18-10-18/14:15</t>
  </si>
  <si>
    <t>3180522141532802</t>
  </si>
  <si>
    <t>Miscellaneous/B-dutyx/18-10-18/16:05</t>
  </si>
  <si>
    <t>6180522160532805</t>
  </si>
  <si>
    <t>Miscellaneous/B-dutyx/29-10-18/12:45</t>
  </si>
  <si>
    <t>2180522124532808</t>
  </si>
  <si>
    <t>Miscellaneous/B-dutyx/30-10-18/09:30</t>
  </si>
  <si>
    <t>1180522093032814</t>
  </si>
  <si>
    <t>Miscellaneous/B-dutyx/30-10-18/12:45</t>
  </si>
  <si>
    <t>2180522124532815</t>
  </si>
  <si>
    <t>Miscellaneous/B-dutyx/30-10-18/14:15</t>
  </si>
  <si>
    <t>3180522141532816</t>
  </si>
  <si>
    <t>Miscellaneous/B-dutyx/30-10-18/15:15</t>
  </si>
  <si>
    <t>4180522151532817</t>
  </si>
  <si>
    <t>Miscellaneous/B-dutyx/30-10-18/15:40</t>
  </si>
  <si>
    <t>5180522154032818</t>
  </si>
  <si>
    <t>Miscellaneous/B-dutyx/31-10-18/14:15</t>
  </si>
  <si>
    <t>3180522141532823</t>
  </si>
  <si>
    <t>MOD Liverpool/D-p1bacx/22-05-18/09:30</t>
  </si>
  <si>
    <t>1180522093032828</t>
  </si>
  <si>
    <t>MOD Liverpool/D-p1bacx/23-05-18/09:30</t>
  </si>
  <si>
    <t>1180522093032835</t>
  </si>
  <si>
    <t>MOD Liverpool/D-p1bacx/24-05-18/09:30</t>
  </si>
  <si>
    <t>1180522093032842</t>
  </si>
  <si>
    <t>MOD Liverpool/D-p1bacx/25-05-18/09:30</t>
  </si>
  <si>
    <t>1180522093032849</t>
  </si>
  <si>
    <t>MOD Liverpool/D-p1bacx/28-05-18/09:30</t>
  </si>
  <si>
    <t>1180522093032856</t>
  </si>
  <si>
    <t>MOD Liverpool/D-p1bacx/31-05-18/09:30</t>
  </si>
  <si>
    <t>1180522093032863</t>
  </si>
  <si>
    <t>MOD Liverpool/D-p1bacx/01-06-18/09:30</t>
  </si>
  <si>
    <t>1180522093032870</t>
  </si>
  <si>
    <t>MOD Liverpool/D-p1bacx/04-06-18/09:30</t>
  </si>
  <si>
    <t>1180522093032877</t>
  </si>
  <si>
    <t>MOD Liverpool/D-p1bacx/05-06-18/09:30</t>
  </si>
  <si>
    <t>1180522093032884</t>
  </si>
  <si>
    <t>MOD Liverpool/D-p1bacx/06-06-18/09:30</t>
  </si>
  <si>
    <t>1180522093032891</t>
  </si>
  <si>
    <t>MOD Liverpool/D-p1bacx/11-06-18/09:30</t>
  </si>
  <si>
    <t>1180522093032898</t>
  </si>
  <si>
    <t>MOD Liverpool/D-p1bacx/12-06-18/09:30</t>
  </si>
  <si>
    <t>1180522093032905</t>
  </si>
  <si>
    <t>MOD Liverpool/D-p1bacx/13-06-18/09:30</t>
  </si>
  <si>
    <t>1180522093032912</t>
  </si>
  <si>
    <t>MOD Liverpool/D-p1bacx/14-06-18/09:30</t>
  </si>
  <si>
    <t>1180522093032919</t>
  </si>
  <si>
    <t>MOD Liverpool/D-p1bacx/15-06-18/09:30</t>
  </si>
  <si>
    <t>1180522093032926</t>
  </si>
  <si>
    <t>MOD Liverpool/D-p1bacx/20-06-18/09:30</t>
  </si>
  <si>
    <t>1180522093032933</t>
  </si>
  <si>
    <t>MOD Liverpool/D-p1bacx/21-06-18/09:30</t>
  </si>
  <si>
    <t>1180522093032940</t>
  </si>
  <si>
    <t>MOD Liverpool/D-p1bacx/22-06-18/09:30</t>
  </si>
  <si>
    <t>1180522093032947</t>
  </si>
  <si>
    <t>MOD Liverpool/D-p1bacx/25-06-18/09:30</t>
  </si>
  <si>
    <t>1180522093032954</t>
  </si>
  <si>
    <t>MOD Liverpool/D-p1bacx/26-06-18/09:30</t>
  </si>
  <si>
    <t>1180522093032961</t>
  </si>
  <si>
    <t>MOD Liverpool/D-p1bacx/29-06-18/09:30</t>
  </si>
  <si>
    <t>1180522093032968</t>
  </si>
  <si>
    <t>MOD Liverpool/D-p1bacx/02-07-18/09:30</t>
  </si>
  <si>
    <t>1180522093032975</t>
  </si>
  <si>
    <t>MOD Liverpool/D-p1bacx/03-07-18/09:30</t>
  </si>
  <si>
    <t>1180522093032982</t>
  </si>
  <si>
    <t>MOD Liverpool/D-p1bacx/04-07-18/09:30</t>
  </si>
  <si>
    <t>1180522093032989</t>
  </si>
  <si>
    <t>MOD Liverpool/D-p1bacx/05-07-18/09:30</t>
  </si>
  <si>
    <t>1180522093032996</t>
  </si>
  <si>
    <t>MOD Liverpool/D-p1bacx/10-07-18/09:30</t>
  </si>
  <si>
    <t>1180522093033003</t>
  </si>
  <si>
    <t>MOD Liverpool/D-p1bacx/11-07-18/09:30</t>
  </si>
  <si>
    <t>1180522093033010</t>
  </si>
  <si>
    <t>MOD Liverpool/D-p1bacx/12-07-18/09:30</t>
  </si>
  <si>
    <t>1180522093033017</t>
  </si>
  <si>
    <t>MOD Liverpool/D-p1bacx/13-07-18/09:30</t>
  </si>
  <si>
    <t>1180522093033024</t>
  </si>
  <si>
    <t>MOD Liverpool/D-p1bacx/16-07-18/09:30</t>
  </si>
  <si>
    <t>1180522093033031</t>
  </si>
  <si>
    <t>MOD Liverpool/D-p1bacx/19-07-18/09:30</t>
  </si>
  <si>
    <t>1180522093033038</t>
  </si>
  <si>
    <t>MOD Liverpool/D-p1bacx/20-07-18/09:30</t>
  </si>
  <si>
    <t>1180522093033045</t>
  </si>
  <si>
    <t>MOD Liverpool/D-p1bacx/23-07-18/09:30</t>
  </si>
  <si>
    <t>1180522093033052</t>
  </si>
  <si>
    <t>MOD Liverpool/D-p1bacx/24-07-18/09:30</t>
  </si>
  <si>
    <t>1180522093033059</t>
  </si>
  <si>
    <t>MOD Liverpool/D-p1bacx/25-07-18/09:30</t>
  </si>
  <si>
    <t>1180522093033066</t>
  </si>
  <si>
    <t>MOD Liverpool/D-p1bacx/30-07-18/09:30</t>
  </si>
  <si>
    <t>1180522093033073</t>
  </si>
  <si>
    <t>MOD Liverpool/D-p1bacx/31-07-18/09:30</t>
  </si>
  <si>
    <t>1180522093033080</t>
  </si>
  <si>
    <t>MOD Liverpool/D-p1bacx/01-08-18/09:30</t>
  </si>
  <si>
    <t>1180522093033087</t>
  </si>
  <si>
    <t>MOD Liverpool/D-p1bacx/02-08-18/09:30</t>
  </si>
  <si>
    <t>1180522093033094</t>
  </si>
  <si>
    <t>MOD Liverpool/D-p1bacx/03-08-18/09:30</t>
  </si>
  <si>
    <t>1180522093033101</t>
  </si>
  <si>
    <t>MOD Liverpool/D-p1bacx/08-08-18/09:30</t>
  </si>
  <si>
    <t>1180522093033108</t>
  </si>
  <si>
    <t>MOD Liverpool/D-p1bacx/09-08-18/09:30</t>
  </si>
  <si>
    <t>1180522093033115</t>
  </si>
  <si>
    <t>MOD Liverpool/D-p1bacx/10-08-18/09:30</t>
  </si>
  <si>
    <t>1180522093033122</t>
  </si>
  <si>
    <t>MOD Liverpool/D-p1bacx/13-08-18/09:30</t>
  </si>
  <si>
    <t>1180522093033129</t>
  </si>
  <si>
    <t>MOD Liverpool/D-p1bacx/14-08-18/09:30</t>
  </si>
  <si>
    <t>1180522093033136</t>
  </si>
  <si>
    <t>MOD Liverpool/D-p1bacx/17-08-18/09:30</t>
  </si>
  <si>
    <t>1180522093033143</t>
  </si>
  <si>
    <t>MOD Liverpool/D-p1bacx/20-08-18/09:30</t>
  </si>
  <si>
    <t>1180522093033150</t>
  </si>
  <si>
    <t>MOD Liverpool/D-p1bacx/21-08-18/09:30</t>
  </si>
  <si>
    <t>1180522093033157</t>
  </si>
  <si>
    <t>MOD Liverpool/D-p1bacx/23-08-18/09:30</t>
  </si>
  <si>
    <t>1180522093033164</t>
  </si>
  <si>
    <t>MOD Liverpool/D-p1bacx/28-08-18/09:30</t>
  </si>
  <si>
    <t>1180522093033171</t>
  </si>
  <si>
    <t>MOD Liverpool/D-p1bacx/29-08-18/09:30</t>
  </si>
  <si>
    <t>1180522093033178</t>
  </si>
  <si>
    <t>MOD Liverpool/D-p1bacx/30-08-18/09:30</t>
  </si>
  <si>
    <t>1180522093033185</t>
  </si>
  <si>
    <t>MOD Liverpool/D-p1bacx/31-08-18/09:30</t>
  </si>
  <si>
    <t>1180522093033192</t>
  </si>
  <si>
    <t>MOD Liverpool/D-p1bacx/03-09-18/09:30</t>
  </si>
  <si>
    <t>1180522093033199</t>
  </si>
  <si>
    <t>MOD Liverpool/D-p1bacx/06-09-18/09:30</t>
  </si>
  <si>
    <t>1180522093033206</t>
  </si>
  <si>
    <t>MOD Liverpool/D-p1bacx/07-09-18/09:30</t>
  </si>
  <si>
    <t>1180522093033213</t>
  </si>
  <si>
    <t>MOD Liverpool/D-p1bacx/10-09-18/09:30</t>
  </si>
  <si>
    <t>1180522093033220</t>
  </si>
  <si>
    <t>MOD Liverpool/D-p1bacx/11-09-18/09:30</t>
  </si>
  <si>
    <t>1180522093033227</t>
  </si>
  <si>
    <t>MOD Liverpool/D-p1bacx/12-09-18/09:30</t>
  </si>
  <si>
    <t>1180522093033234</t>
  </si>
  <si>
    <t>MOD Liverpool/D-p1bacx/17-09-18/09:30</t>
  </si>
  <si>
    <t>1180522093033241</t>
  </si>
  <si>
    <t>MOD Liverpool/D-p1bacx/18-09-18/09:30</t>
  </si>
  <si>
    <t>1180522093033248</t>
  </si>
  <si>
    <t>MOD Liverpool/D-p1bacx/19-09-18/09:30</t>
  </si>
  <si>
    <t>1180522093033255</t>
  </si>
  <si>
    <t>MOD Liverpool/D-p1bacx/20-09-18/09:30</t>
  </si>
  <si>
    <t>1180522093033262</t>
  </si>
  <si>
    <t>MOD Liverpool/D-p1bacx/27-09-18/09:30</t>
  </si>
  <si>
    <t>1180522093033269</t>
  </si>
  <si>
    <t>MOD Liverpool/D-p1bacx/28-09-18/09:30</t>
  </si>
  <si>
    <t>1180522093033276</t>
  </si>
  <si>
    <t>MOD Liverpool/D-p1bacx/01-10-18/09:30</t>
  </si>
  <si>
    <t>1180522093033283</t>
  </si>
  <si>
    <t>MOD Liverpool/D-p1bacx/02-10-18/09:30</t>
  </si>
  <si>
    <t>1180522093033290</t>
  </si>
  <si>
    <t>MOD Liverpool/D-p1bacx/05-10-18/09:30</t>
  </si>
  <si>
    <t>1180522093033297</t>
  </si>
  <si>
    <t>MOD Liverpool/D-p1bacx/08-10-18/09:30</t>
  </si>
  <si>
    <t>1180522093033304</t>
  </si>
  <si>
    <t>MOD Liverpool/D-p1bacx/09-10-18/09:30</t>
  </si>
  <si>
    <t>1180522093033311</t>
  </si>
  <si>
    <t>MOD Liverpool/D-p1bacx/10-10-18/09:30</t>
  </si>
  <si>
    <t>1180522093033318</t>
  </si>
  <si>
    <t>MOD Liverpool/D-p1bacx/11-10-18/09:30</t>
  </si>
  <si>
    <t>1180522093033325</t>
  </si>
  <si>
    <t>MOD Liverpool/D-p1bacx/16-10-18/09:30</t>
  </si>
  <si>
    <t>1180522093033332</t>
  </si>
  <si>
    <t>MOD Liverpool/D-p1bacx/17-10-18/09:30</t>
  </si>
  <si>
    <t>1180522093033339</t>
  </si>
  <si>
    <t>MOD Liverpool/D-p1bacx/18-10-18/09:30</t>
  </si>
  <si>
    <t>1180522093033346</t>
  </si>
  <si>
    <t>MOD Liverpool/D-p1bacx/19-10-18/09:30</t>
  </si>
  <si>
    <t>1180522093033353</t>
  </si>
  <si>
    <t>MOD Liverpool/D-p1bacx/22-10-18/09:30</t>
  </si>
  <si>
    <t>1180522093033360</t>
  </si>
  <si>
    <t>MOD Liverpool/D-p1bacx/25-10-18/09:30</t>
  </si>
  <si>
    <t>1180522093033367</t>
  </si>
  <si>
    <t>MOD Liverpool/D-p1bacx/26-10-18/09:30</t>
  </si>
  <si>
    <t>1180522093033374</t>
  </si>
  <si>
    <t>MOD Liverpool/D-p1bacx/29-10-18/09:30</t>
  </si>
  <si>
    <t>1180522093033381</t>
  </si>
  <si>
    <t>MOD Liverpool/D-p1bacx/31-10-18/09:30</t>
  </si>
  <si>
    <t>1180522093033395</t>
  </si>
  <si>
    <t>MOD Liverpool/D-p1chpx/24-05-18/14:15</t>
  </si>
  <si>
    <t>3180522141533404</t>
  </si>
  <si>
    <t>MOD Liverpool/D-p1chpx/04-06-18/14:15</t>
  </si>
  <si>
    <t>3180522141533411</t>
  </si>
  <si>
    <t>MOD Liverpool/D-p1chpx/05-06-18/14:15</t>
  </si>
  <si>
    <t>3180522141533418</t>
  </si>
  <si>
    <t>MOD Liverpool/D-p1chpx/06-06-18/14:15</t>
  </si>
  <si>
    <t>3180522141533425</t>
  </si>
  <si>
    <t>MOD Liverpool/D-p1chpx/11-06-18/09:30</t>
  </si>
  <si>
    <t>1180522093033430</t>
  </si>
  <si>
    <t>MOD Liverpool/D-p1chpx/12-06-18/09:30</t>
  </si>
  <si>
    <t>1180522093033437</t>
  </si>
  <si>
    <t>MOD Liverpool/D-p1chpx/12-06-18/14:15</t>
  </si>
  <si>
    <t>3180522141533439</t>
  </si>
  <si>
    <t>MOD Liverpool/D-p1chpx/15-06-18/14:15</t>
  </si>
  <si>
    <t>3180522141533446</t>
  </si>
  <si>
    <t>MOD Liverpool/D-p1chpx/22-06-18/14:15</t>
  </si>
  <si>
    <t>3180522141533453</t>
  </si>
  <si>
    <t>MOD Liverpool/D-p1chpx/25-06-18/09:30</t>
  </si>
  <si>
    <t>1180522093033458</t>
  </si>
  <si>
    <t>MOD Liverpool/D-p1chpx/25-06-18/12:45</t>
  </si>
  <si>
    <t>2180522124533459</t>
  </si>
  <si>
    <t>MOD Liverpool/D-p1chpx/25-06-18/14:15</t>
  </si>
  <si>
    <t>3180522141533460</t>
  </si>
  <si>
    <t>MOD Liverpool/D-p1chpx/26-06-18/14:15</t>
  </si>
  <si>
    <t>3180522141533467</t>
  </si>
  <si>
    <t>MOD Liverpool/D-p1chpx/16-07-18/09:30</t>
  </si>
  <si>
    <t>1180522093033479</t>
  </si>
  <si>
    <t>MOD Liverpool/D-p1chpx/16-07-18/14:15</t>
  </si>
  <si>
    <t>3180522141533481</t>
  </si>
  <si>
    <t>MOD Liverpool/D-p1chpx/20-07-18/12:45</t>
  </si>
  <si>
    <t>2180522124533487</t>
  </si>
  <si>
    <t>MOD Liverpool/D-p1chpx/20-07-18/14:15</t>
  </si>
  <si>
    <t>3180522141533488</t>
  </si>
  <si>
    <t>MOD Liverpool/D-p1chpx/25-07-18/09:30</t>
  </si>
  <si>
    <t>1180522093033493</t>
  </si>
  <si>
    <t>MOD Liverpool/D-p1chpx/25-07-18/12:45</t>
  </si>
  <si>
    <t>2180522124533494</t>
  </si>
  <si>
    <t>MOD Liverpool/D-p1chpx/25-07-18/14:15</t>
  </si>
  <si>
    <t>3180522141533495</t>
  </si>
  <si>
    <t>MOD Liverpool/D-p1chpx/01-08-18/14:15</t>
  </si>
  <si>
    <t>3180522141533502</t>
  </si>
  <si>
    <t>MOD Liverpool/D-p1chpx/02-08-18/14:15</t>
  </si>
  <si>
    <t>3180522141533509</t>
  </si>
  <si>
    <t>MOD Liverpool/D-p1chpx/03-08-18/14:15</t>
  </si>
  <si>
    <t>3180522141533516</t>
  </si>
  <si>
    <t>MOD Liverpool/D-p1chpx/22-08-18/14:15</t>
  </si>
  <si>
    <t>3180522141533523</t>
  </si>
  <si>
    <t>MOD Liverpool/D-p1chpx/23-08-18/09:30</t>
  </si>
  <si>
    <t>1180522093033528</t>
  </si>
  <si>
    <t>MOD Liverpool/D-p1chpx/28-08-18/12:45</t>
  </si>
  <si>
    <t>2180522124533536</t>
  </si>
  <si>
    <t>MOD Liverpool/D-p1chpx/28-08-18/14:15</t>
  </si>
  <si>
    <t>3180522141533537</t>
  </si>
  <si>
    <t>MOD Liverpool/D-p1chpx/31-08-18/09:30</t>
  </si>
  <si>
    <t>1180522093033542</t>
  </si>
  <si>
    <t>MOD Liverpool/D-p1chpx/31-08-18/14:15</t>
  </si>
  <si>
    <t>3180522141533544</t>
  </si>
  <si>
    <t>MOD Liverpool/D-p1chpx/03-09-18/14:15</t>
  </si>
  <si>
    <t>3180522141533551</t>
  </si>
  <si>
    <t>MOD Liverpool/D-p1chpx/07-09-18/12:45</t>
  </si>
  <si>
    <t>2180522124533557</t>
  </si>
  <si>
    <t>MOD Liverpool/D-p1chpx/07-09-18/14:15</t>
  </si>
  <si>
    <t>3180522141533558</t>
  </si>
  <si>
    <t>MOD Liverpool/D-p1chpx/10-09-18/14:15</t>
  </si>
  <si>
    <t>3180522141533565</t>
  </si>
  <si>
    <t>MOD Liverpool/D-p1chpx/17-09-18/09:30</t>
  </si>
  <si>
    <t>1180522093033570</t>
  </si>
  <si>
    <t>MOD Liverpool/D-p1chpx/17-09-18/14:15</t>
  </si>
  <si>
    <t>3180522141533572</t>
  </si>
  <si>
    <t>MOD Liverpool/D-p1chpx/18-09-18/14:15</t>
  </si>
  <si>
    <t>3180522141533579</t>
  </si>
  <si>
    <t>MOD Liverpool/D-p1chpx/09-10-18/14:15</t>
  </si>
  <si>
    <t>3180522141533586</t>
  </si>
  <si>
    <t>MOD Liverpool/D-p1chpx/10-10-18/14:15</t>
  </si>
  <si>
    <t>3180522141533593</t>
  </si>
  <si>
    <t>MOD Liverpool/D-p1chpx/11-10-18/09:30</t>
  </si>
  <si>
    <t>1180522093033598</t>
  </si>
  <si>
    <t>MOD Liverpool/D-p1chpx/11-10-18/14:15</t>
  </si>
  <si>
    <t>3180522141533600</t>
  </si>
  <si>
    <t>MOD Liverpool/D-p1chpx/16-10-18/09:30</t>
  </si>
  <si>
    <t>1180522093033605</t>
  </si>
  <si>
    <t>MOD Liverpool/D-p1chpx/16-10-18/12:45</t>
  </si>
  <si>
    <t>2180522124533606</t>
  </si>
  <si>
    <t>MOD Liverpool/D-p1chpx/16-10-18/14:15</t>
  </si>
  <si>
    <t>3180522141533607</t>
  </si>
  <si>
    <t>MOD Liverpool/D-p1chpx/17-10-18/09:30</t>
  </si>
  <si>
    <t>1180522093033612</t>
  </si>
  <si>
    <t>MOD Liverpool/D-p1chpx/17-10-18/12:45</t>
  </si>
  <si>
    <t>2180522124533613</t>
  </si>
  <si>
    <t>MOD Liverpool/D-p1chpx/17-10-18/14:15</t>
  </si>
  <si>
    <t>3180522141533614</t>
  </si>
  <si>
    <t>MOD Liverpool/D-p1chpx/26-10-18/14:15</t>
  </si>
  <si>
    <t>3180522141533621</t>
  </si>
  <si>
    <t>MOD Liverpool/D-p1chpx/29-10-18/14:15</t>
  </si>
  <si>
    <t>3180522141533628</t>
  </si>
  <si>
    <t>MOD Liverpool/D-p1chpx/31-10-18/16:05</t>
  </si>
  <si>
    <t>6180522160533638</t>
  </si>
  <si>
    <t>Wales NHS/AZ-iropgx/28-05-18/09:30</t>
  </si>
  <si>
    <t>1180522093064816</t>
  </si>
  <si>
    <t>Wales NHS/AZ-iropgx/06-06-18/09:30</t>
  </si>
  <si>
    <t>1180522093064823</t>
  </si>
  <si>
    <t>Wales NHS/AZ-iropgx/15-06-18/09:30</t>
  </si>
  <si>
    <t>1180522093064830</t>
  </si>
  <si>
    <t>Wales NHS/AZ-iropgx/26-06-18/09:30</t>
  </si>
  <si>
    <t>1180522093064837</t>
  </si>
  <si>
    <t>Wales NHS/AZ-iropgx/05-07-18/09:30</t>
  </si>
  <si>
    <t>1180522093064844</t>
  </si>
  <si>
    <t>Wales NHS/AZ-iropgx/16-07-18/09:30</t>
  </si>
  <si>
    <t>1180522093064851</t>
  </si>
  <si>
    <t>Wales NHS/AZ-iropgx/25-07-18/09:30</t>
  </si>
  <si>
    <t>1180522093064858</t>
  </si>
  <si>
    <t>Wales NHS/AZ-iropgx/14-08-18/09:30</t>
  </si>
  <si>
    <t>1180522093064865</t>
  </si>
  <si>
    <t>Wales NHS/AZ-iropgx/23-08-18/09:30</t>
  </si>
  <si>
    <t>1180522093064872</t>
  </si>
  <si>
    <t>Wales NHS/AZ-iropgx/03-09-18/09:30</t>
  </si>
  <si>
    <t>1180522093064879</t>
  </si>
  <si>
    <t>Wales NHS/AZ-iropgx/12-09-18/09:30</t>
  </si>
  <si>
    <t>1180522093064886</t>
  </si>
  <si>
    <t>Wales NHS/AZ-iropgx/20-09-18/14:15</t>
  </si>
  <si>
    <t>3180522141564895</t>
  </si>
  <si>
    <t>Wales NHS/AZ-iropgx/02-10-18/09:30</t>
  </si>
  <si>
    <t>1180522093064900</t>
  </si>
  <si>
    <t>Wales NHS/AZ-iropgx/11-10-18/09:30</t>
  </si>
  <si>
    <t>1180522093064907</t>
  </si>
  <si>
    <t>Wales NHS/AZ-iropgx/22-10-18/09:30</t>
  </si>
  <si>
    <t>1180522093064914</t>
  </si>
  <si>
    <t>Wales NHS/AZ-iropgx/31-10-18/09:30</t>
  </si>
  <si>
    <t>1180522093064921</t>
  </si>
  <si>
    <t>Wales NHS/DZ-iropgx/28-05-18/09:30</t>
  </si>
  <si>
    <t>1180522093064928</t>
  </si>
  <si>
    <t>Wales NHS/DZ-iropgx/06-06-18/09:30</t>
  </si>
  <si>
    <t>1180522093064935</t>
  </si>
  <si>
    <t>Wales NHS/DZ-iropgx/15-06-18/09:30</t>
  </si>
  <si>
    <t>1180522093064942</t>
  </si>
  <si>
    <t>Wales NHS/DZ-iropgx/26-06-18/09:30</t>
  </si>
  <si>
    <t>1180522093064949</t>
  </si>
  <si>
    <t>Wales NHS/DZ-iropgx/05-07-18/09:30</t>
  </si>
  <si>
    <t>1180522093064956</t>
  </si>
  <si>
    <t>Wales NHS/DZ-iropgx/16-07-18/09:30</t>
  </si>
  <si>
    <t>1180522093064963</t>
  </si>
  <si>
    <t>Wales NHS/DZ-iropgx/25-07-18/09:30</t>
  </si>
  <si>
    <t>1180522093064970</t>
  </si>
  <si>
    <t>Wales NHS/DZ-iropgx/14-08-18/09:30</t>
  </si>
  <si>
    <t>1180522093064977</t>
  </si>
  <si>
    <t>Wales NHS/DZ-iropgx/23-08-18/09:30</t>
  </si>
  <si>
    <t>1180522093064984</t>
  </si>
  <si>
    <t>Wales NHS/DZ-iropgx/03-09-18/09:30</t>
  </si>
  <si>
    <t>1180522093064991</t>
  </si>
  <si>
    <t>Wales NHS/DZ-iropgx/12-09-18/09:30</t>
  </si>
  <si>
    <t>1180522093064998</t>
  </si>
  <si>
    <t>Wales NHS/DZ-iropgx/20-09-18/14:15</t>
  </si>
  <si>
    <t>3180522141565007</t>
  </si>
  <si>
    <t>Wales NHS/DZ-iropgx/02-10-18/09:30</t>
  </si>
  <si>
    <t>1180522093065012</t>
  </si>
  <si>
    <t>Wales NHS/DZ-iropgx/11-10-18/09:30</t>
  </si>
  <si>
    <t>1180522093065019</t>
  </si>
  <si>
    <t>Wales NHS/DZ-iropgx/22-10-18/09:30</t>
  </si>
  <si>
    <t>1180522093065026</t>
  </si>
  <si>
    <t>Wales NHS/DZ-iropgx/31-10-18/09:30</t>
  </si>
  <si>
    <t>1180522093065033</t>
  </si>
  <si>
    <t>War Pensions Agency/D-p1bacx/22-05-18/09:30</t>
  </si>
  <si>
    <t>1180522093065040</t>
  </si>
  <si>
    <t>War Pensions Agency/D-p1bacx/23-05-18/09:30</t>
  </si>
  <si>
    <t>1180522093065047</t>
  </si>
  <si>
    <t>War Pensions Agency/D-p1bacx/24-05-18/09:30</t>
  </si>
  <si>
    <t>1180522093065054</t>
  </si>
  <si>
    <t>War Pensions Agency/D-p1bacx/31-05-18/09:30</t>
  </si>
  <si>
    <t>1180522093065061</t>
  </si>
  <si>
    <t>War Pensions Agency/D-p1bacx/01-06-18/09:30</t>
  </si>
  <si>
    <t>1180522093065068</t>
  </si>
  <si>
    <t>War Pensions Agency/D-p1bacx/04-06-18/09:30</t>
  </si>
  <si>
    <t>1180522093065075</t>
  </si>
  <si>
    <t>War Pensions Agency/D-p1bacx/06-06-18/09:30</t>
  </si>
  <si>
    <t>1180522093065082</t>
  </si>
  <si>
    <t>War Pensions Agency/D-p1bacx/11-06-18/09:30</t>
  </si>
  <si>
    <t>1180522093065089</t>
  </si>
  <si>
    <t>War Pensions Agency/D-p1bacx/13-06-18/09:30</t>
  </si>
  <si>
    <t>1180522093065096</t>
  </si>
  <si>
    <t>War Pensions Agency/D-p1bacx/20-06-18/09:30</t>
  </si>
  <si>
    <t>1180522093065103</t>
  </si>
  <si>
    <t>War Pensions Agency/D-p1bacx/21-06-18/09:30</t>
  </si>
  <si>
    <t>1180522093065110</t>
  </si>
  <si>
    <t>War Pensions Agency/D-p1bacx/26-06-18/09:30</t>
  </si>
  <si>
    <t>1180522093065117</t>
  </si>
  <si>
    <t>War Pensions Agency/D-p1bacx/29-06-18/09:30</t>
  </si>
  <si>
    <t>1180522093065124</t>
  </si>
  <si>
    <t>War Pensions Agency/D-p1bacx/02-07-18/09:30</t>
  </si>
  <si>
    <t>1180522093065131</t>
  </si>
  <si>
    <t>War Pensions Agency/D-p1bacx/03-07-18/09:30</t>
  </si>
  <si>
    <t>1180522093065138</t>
  </si>
  <si>
    <t>War Pensions Agency/D-p1bacx/05-07-18/09:30</t>
  </si>
  <si>
    <t>1180522093065145</t>
  </si>
  <si>
    <t>War Pensions Agency/D-p1bacx/10-07-18/09:30</t>
  </si>
  <si>
    <t>1180522093065152</t>
  </si>
  <si>
    <t>War Pensions Agency/D-p1bacx/11-07-18/09:30</t>
  </si>
  <si>
    <t>1180522093065159</t>
  </si>
  <si>
    <t>War Pensions Agency/D-p1bacx/12-07-18/09:30</t>
  </si>
  <si>
    <t>1180522093065166</t>
  </si>
  <si>
    <t>War Pensions Agency/D-p1bacx/16-07-18/09:30</t>
  </si>
  <si>
    <t>1180522093065173</t>
  </si>
  <si>
    <t>War Pensions Agency/D-p1bacx/19-07-18/09:30</t>
  </si>
  <si>
    <t>1180522093065180</t>
  </si>
  <si>
    <t>War Pensions Agency/D-p1bacx/23-07-18/09:30</t>
  </si>
  <si>
    <t>1180522093065187</t>
  </si>
  <si>
    <t>War Pensions Agency/D-p1bacx/25-07-18/09:30</t>
  </si>
  <si>
    <t>1180522093065194</t>
  </si>
  <si>
    <t>War Pensions Agency/D-p1bacx/30-07-18/09:30</t>
  </si>
  <si>
    <t>1180522093065201</t>
  </si>
  <si>
    <t>War Pensions Agency/D-p1bacx/31-07-18/09:30</t>
  </si>
  <si>
    <t>1180522093065208</t>
  </si>
  <si>
    <t>War Pensions Agency/D-p1bacx/01-08-18/09:30</t>
  </si>
  <si>
    <t>1180522093065215</t>
  </si>
  <si>
    <t>War Pensions Agency/D-p1bacx/03-08-18/09:30</t>
  </si>
  <si>
    <t>1180522093065222</t>
  </si>
  <si>
    <t>War Pensions Agency/D-p1bacx/08-08-18/09:30</t>
  </si>
  <si>
    <t>1180522093065229</t>
  </si>
  <si>
    <t>War Pensions Agency/D-p1bacx/09-08-18/09:30</t>
  </si>
  <si>
    <t>1180522093065236</t>
  </si>
  <si>
    <t>War Pensions Agency/D-p1bacx/14-08-18/09:30</t>
  </si>
  <si>
    <t>1180522093065243</t>
  </si>
  <si>
    <t>War Pensions Agency/D-p1bacx/17-08-18/09:30</t>
  </si>
  <si>
    <t>1180522093065250</t>
  </si>
  <si>
    <t>War Pensions Agency/D-p1bacx/21-08-18/09:30</t>
  </si>
  <si>
    <t>1180522093065257</t>
  </si>
  <si>
    <t>War Pensions Agency/D-p1bacx/23-08-18/09:30</t>
  </si>
  <si>
    <t>1180522093065264</t>
  </si>
  <si>
    <t>War Pensions Agency/D-p1bacx/28-08-18/09:30</t>
  </si>
  <si>
    <t>1180522093065271</t>
  </si>
  <si>
    <t>War Pensions Agency/D-p1bacx/29-08-18/09:30</t>
  </si>
  <si>
    <t>1180522093065278</t>
  </si>
  <si>
    <t>War Pensions Agency/D-p1bacx/30-08-18/09:30</t>
  </si>
  <si>
    <t>1180522093065285</t>
  </si>
  <si>
    <t>War Pensions Agency/D-p1bacx/06-09-18/09:30</t>
  </si>
  <si>
    <t>1180522093065292</t>
  </si>
  <si>
    <t>War Pensions Agency/D-p1bacx/07-09-18/09:30</t>
  </si>
  <si>
    <t>1180522093065299</t>
  </si>
  <si>
    <t>War Pensions Agency/D-p1bacx/10-09-18/09:30</t>
  </si>
  <si>
    <t>1180522093065306</t>
  </si>
  <si>
    <t>War Pensions Agency/D-p1bacx/12-09-18/09:30</t>
  </si>
  <si>
    <t>1180522093065313</t>
  </si>
  <si>
    <t>War Pensions Agency/D-p1bacx/18-09-18/09:30</t>
  </si>
  <si>
    <t>1180522093065320</t>
  </si>
  <si>
    <t>War Pensions Agency/D-p1bacx/19-09-18/09:30</t>
  </si>
  <si>
    <t>1180522093065327</t>
  </si>
  <si>
    <t>War Pensions Agency/D-p1bacx/20-09-18/09:30</t>
  </si>
  <si>
    <t>1180522093065334</t>
  </si>
  <si>
    <t>War Pensions Agency/D-p1bacx/27-09-18/09:30</t>
  </si>
  <si>
    <t>1180522093065341</t>
  </si>
  <si>
    <t>War Pensions Agency/D-p1bacx/28-09-18/09:30</t>
  </si>
  <si>
    <t>1180522093065348</t>
  </si>
  <si>
    <t>War Pensions Agency/D-p1bacx/02-10-18/09:30</t>
  </si>
  <si>
    <t>1180522093065355</t>
  </si>
  <si>
    <t>War Pensions Agency/D-p1bacx/05-10-18/09:30</t>
  </si>
  <si>
    <t>1180522093065362</t>
  </si>
  <si>
    <t>War Pensions Agency/D-p1bacx/08-10-18/09:30</t>
  </si>
  <si>
    <t>1180522093065369</t>
  </si>
  <si>
    <t>War Pensions Agency/D-p1bacx/09-10-18/09:30</t>
  </si>
  <si>
    <t>1180522093065376</t>
  </si>
  <si>
    <t>War Pensions Agency/D-p1bacx/11-10-18/09:30</t>
  </si>
  <si>
    <t>1180522093065383</t>
  </si>
  <si>
    <t>War Pensions Agency/D-p1bacx/16-10-18/09:30</t>
  </si>
  <si>
    <t>1180522093065390</t>
  </si>
  <si>
    <t>War Pensions Agency/D-p1bacx/17-10-18/09:30</t>
  </si>
  <si>
    <t>1180522093065397</t>
  </si>
  <si>
    <t>War Pensions Agency/D-p1bacx/18-10-18/09:30</t>
  </si>
  <si>
    <t>1180522093065404</t>
  </si>
  <si>
    <t>War Pensions Agency/D-p1bacx/22-10-18/09:30</t>
  </si>
  <si>
    <t>1180522093065411</t>
  </si>
  <si>
    <t>War Pensions Agency/D-p1bacx/25-10-18/09:30</t>
  </si>
  <si>
    <t>1180522093065418</t>
  </si>
  <si>
    <t>War Pensions Agency/D-p1bacx/29-10-18/09:30</t>
  </si>
  <si>
    <t>1180522093065425</t>
  </si>
  <si>
    <t>War Pensions Agency/D-p1bacx/31-10-18/09:30</t>
  </si>
  <si>
    <t>1180522093065439</t>
  </si>
  <si>
    <t>Welsh Office/D-p1chpx/01-06-18/12:45</t>
  </si>
  <si>
    <t>2180522124565447</t>
  </si>
  <si>
    <t>Welsh Office/D-p1chpx/14-06-18/14:15</t>
  </si>
  <si>
    <t>3180522141565455</t>
  </si>
  <si>
    <t>Welsh Office/D-p1chpx/29-06-18/14:15</t>
  </si>
  <si>
    <t>3180522141565469</t>
  </si>
  <si>
    <t>Welsh Office/D-p1chpx/03-08-18/14:15</t>
  </si>
  <si>
    <t>3180522141565476</t>
  </si>
  <si>
    <t>Welsh Office/D-p1chpx/13-08-18/14:15</t>
  </si>
  <si>
    <t>3180522141565483</t>
  </si>
  <si>
    <t>Wines and Spirits/B-dutyx/06-06-18/09:30</t>
  </si>
  <si>
    <t>1180522093065488</t>
  </si>
  <si>
    <t>Wines and Spirits/B-dutyx/26-06-18/09:30</t>
  </si>
  <si>
    <t>1180522093065495</t>
  </si>
  <si>
    <t>Wines and Spirits/B-dutyx/19-07-18/09:30</t>
  </si>
  <si>
    <t>1180522093065502</t>
  </si>
  <si>
    <t>Wines and Spirits/B-dutyx/03-08-18/09:30</t>
  </si>
  <si>
    <t>1180522093065509</t>
  </si>
  <si>
    <t>Wines and Spirits/B-dutyx/17-09-18/09:30</t>
  </si>
  <si>
    <t>1180522093065516</t>
  </si>
  <si>
    <t>Wines and Spirits/B-dutyx/10-10-18/09:30</t>
  </si>
  <si>
    <t>1180522093065523</t>
  </si>
  <si>
    <t>Wines and Spirits/B-dutyx/30-10-18/09:30</t>
  </si>
  <si>
    <t>1180522093065530</t>
  </si>
  <si>
    <t>GOVERNMENT/DZ-PFEP</t>
  </si>
  <si>
    <t>IRTRANSFER/AZ-IRNLFCTD</t>
  </si>
  <si>
    <t>IRTRANSFER/S-IRNLFCTD</t>
  </si>
  <si>
    <t>NLFPAYIRCB/S-IRCTDINT</t>
  </si>
  <si>
    <t>NLFPAYIRCA/AZ-NLFIRINT</t>
  </si>
  <si>
    <t>ONADJUSTME/D-PZZZZ</t>
  </si>
  <si>
    <t>POIDEPTEXC/S-POFIS</t>
  </si>
  <si>
    <t>PRINCIPALR/F-NSPPR</t>
  </si>
  <si>
    <t>GOVERNMENT</t>
  </si>
  <si>
    <t>IRTRANSFER</t>
  </si>
  <si>
    <t>NLFPAYIRCA</t>
  </si>
  <si>
    <t>NLFPAYIRCB</t>
  </si>
  <si>
    <t>ONADJUSTME</t>
  </si>
  <si>
    <t>POIDEPTEXC</t>
  </si>
  <si>
    <t>PRINCIPALR</t>
  </si>
  <si>
    <t>Adjustments [A-adj][ADJUSTMENT][OTHER-OTH]</t>
  </si>
  <si>
    <t>Adjustments [B-adj][ADJUSTMENT][OTHER-OTH]</t>
  </si>
  <si>
    <t>Aggregates [B-dutyx][AGGREGATES][HMRC-OTH]</t>
  </si>
  <si>
    <t>APD [B-dutyx][APD][HMRC-OTH]</t>
  </si>
  <si>
    <t>BACS [D-p1bac][BACS][BOE-OTH]</t>
  </si>
  <si>
    <t>BACS receipts [A-bacs][BACSRCPTS][BOE-OTH]</t>
  </si>
  <si>
    <t>BACS receipts [B-bacs][BACSRCPTS][BOE-OTH]</t>
  </si>
  <si>
    <t>Bank Giro Credit [D-oidrx][BANKGIROCR][HMRC-OTH]</t>
  </si>
  <si>
    <t>Bank of England Transfers [D-p1boet][BOETRANSFR][BOE-OTH]</t>
  </si>
  <si>
    <t>Barclays to Shipley transfer [A-bbarc][BARCTOSHIP][BARCLAYS-OTH]</t>
  </si>
  <si>
    <t>BBC grants [D-p1bacx][BBCGRANTS][BBC-OTH]</t>
  </si>
  <si>
    <t>Beer [B-dutyx][BEER][HMRC-LON]</t>
  </si>
  <si>
    <t>BERR [D-p1bacx][BERR][HMRC-OTH]</t>
  </si>
  <si>
    <t>BERR [D-p1chpx][BERR][HMRC-OTH]</t>
  </si>
  <si>
    <t>BGS Interest [D-p1bacx][BGSINTRST][HMRC-OTH]</t>
  </si>
  <si>
    <t>BoE Clearing Centre Payments [A-ubecc][BOECLRCPAY][BOE-OTH]</t>
  </si>
  <si>
    <t>BoE Clearing Day 1 [A-becc1][BOECLRD1][BOE-OTH]</t>
  </si>
  <si>
    <t>BoE Clearing Day 2 [A-becc2][BOECLRD2][BOE-OTH]</t>
  </si>
  <si>
    <t>BoE Clearing Day 3 [A-becc3][BOECLRD3][BOE-OTH]</t>
  </si>
  <si>
    <t>BoE Clearing Day 4 [A-becc4][BOECLRD4][BOE-OTH]</t>
  </si>
  <si>
    <t>Broadcasting Receiving Licences [D-brl][BROADCAST][BBC-OTH]</t>
  </si>
  <si>
    <t>Cabinet Office [D-p1bacx][CABINETOFF][CAB-LON]</t>
  </si>
  <si>
    <t>Cabinet Office [D-p1chpx][CABINETOFF][CAB-LON]</t>
  </si>
  <si>
    <t>Capita [D-p1chpx][CAPITA][HMT-LON]</t>
  </si>
  <si>
    <t>CCL [B-dutyx][CCL][HMT-LON]</t>
  </si>
  <si>
    <t>Central office of Information [D-p1bacx][CENTRALOFF][BUSI-LON]</t>
  </si>
  <si>
    <t>Cert of Tax Deposit Purchases [AZ-ctdr][CERTOFTAXD][HMT-LON]</t>
  </si>
  <si>
    <t>CF Supply Issues to OPG [DZ-supply][CFSUPPLYIS][HMT-LON]</t>
  </si>
  <si>
    <t>CHAPS [D-p1chp][CHAPS][BOE-OTH]</t>
  </si>
  <si>
    <t>CHAPS Payments [A-uchap][CHAPSPAYM][BOE-OTH]</t>
  </si>
  <si>
    <t>CHAPS Receipts [A-chaps][CHAPSRECPT][BOE-OTH]</t>
  </si>
  <si>
    <t>Charity BACS [A-tidx][CHARITYBAC][DWP-LON]</t>
  </si>
  <si>
    <t>Child Benefit [D-p1bacx][CHILDBENEF][DWP-LON]</t>
  </si>
  <si>
    <t>Cider and Perry [B-dutyx][CIDERPERRY][HMRC-LON]</t>
  </si>
  <si>
    <t>Civil Superannuation [D-p1bacx][CIVILSUPER][CAB-LON]</t>
  </si>
  <si>
    <t>COTAX / SA [A-tidx][COTAXSA][HMT-LON]</t>
  </si>
  <si>
    <t>CREST [A-crest][CREST][HMT-LON]</t>
  </si>
  <si>
    <t>Crown Estate [S-cest][CROWNESTAT][CROWN-LON]</t>
  </si>
  <si>
    <t>Customs [B-dutyx][CUSTOMS][HMRC-LON]</t>
  </si>
  <si>
    <t>Customs balance transfer to CF [BZ-ceconf][CUSTOMSBAL][HMRC-LON]</t>
  </si>
  <si>
    <t>Customs balance transfer to CF [R-cebal][CUSTOMSBAL][HMRC-LON]</t>
  </si>
  <si>
    <t>Customs payments to OPG (inc Cont Fund repayments) [BZ-ceopg][CUSTOMSPAY][HMRC-LON]</t>
  </si>
  <si>
    <t>Customs payments to OPG (inc Cont Fund repayments) [DZ-ceopg][CUSTOMSPAY][HMRC-LON]</t>
  </si>
  <si>
    <t>Customs receipts from OPG (inc Cont Fund drawings) [BZ-opgce][CUSTOMRECO][HMRC-LON]</t>
  </si>
  <si>
    <t>Customs Receipts from OPG (incl Cont Fund Drawing) [DZ-opgce][CUSTOMSREC][HMRC-LON]</t>
  </si>
  <si>
    <t>DCLG [D-p1bacx][DCLG][DWP-LON]</t>
  </si>
  <si>
    <t>DCLG [D-p1chpx][DCLG][DWP-LON]</t>
  </si>
  <si>
    <t>DCMS [D-p1bacx][DCMS][DWP-LON]</t>
  </si>
  <si>
    <t>DCMS [D-p1chpx][DCMS][DWP-LON]</t>
  </si>
  <si>
    <t>DCSF [D-p1bacx][DCSF][DWP-LON]</t>
  </si>
  <si>
    <t>DCSF [D-p1chpx][DCSF][DWP-LON]</t>
  </si>
  <si>
    <t>Deferred Duties [B-dutyx][DEFERREDDU][HMRC-LON]</t>
  </si>
  <si>
    <t>DEFRA [D-p1bacx][DEFRA][DEFRA-LON]</t>
  </si>
  <si>
    <t>DEFRA [D-p1chpx][DEFRA][DEFRA-LON]</t>
  </si>
  <si>
    <t>Dental services [D-p1bacx][DENTALSERV][HEALTH-OTH]</t>
  </si>
  <si>
    <t>Department for Innovation Universities and Schools [D-p1bacx][DEPTINNO][EDU-OTH]</t>
  </si>
  <si>
    <t>Department of Health [D-p1bacx][DEPTHEALTH][HEALTH-OTH]</t>
  </si>
  <si>
    <t>Department of Health [D-p1chpx][DEPTHEALTH][HEALTH-OTH]</t>
  </si>
  <si>
    <t>Dept for Transport [D-p1bacx][DEPTTRANS][DFT-LON]</t>
  </si>
  <si>
    <t>DFID [D-p1bacx][DFID][INTDEV-LON]</t>
  </si>
  <si>
    <t>DFID [D-p1chpx][DFID][INTDEV-LON]</t>
  </si>
  <si>
    <t>DFT [D-p1chpx][DFT][TRANSPORT-LON]</t>
  </si>
  <si>
    <t>Duty [B-duty][DUTY][HMRC-OTH]</t>
  </si>
  <si>
    <t>DVLA [D-p1bacx][DVLA][TRANSPORT-LON]</t>
  </si>
  <si>
    <t>DWP [D-p1chpx][DWP][DWP-LON]</t>
  </si>
  <si>
    <t>ECGD [D-oidrx][ECGD][OTHER-EMI]</t>
  </si>
  <si>
    <t>Education [D-ed][EDUCATION][EDU-OTH]</t>
  </si>
  <si>
    <t>England NHS [AZ-iropgx][ENGLANDNHS][NHS-LON]</t>
  </si>
  <si>
    <t>England NHS [DZ-iropgx][ENGLANDNHS][NHS-LON]</t>
  </si>
  <si>
    <t>English Receipts [B-eng][ENGLISHREC][HMRC-EOE]</t>
  </si>
  <si>
    <t>European Communities [D-p1chpx][EUROPEANCO][EUROPE-OTH]</t>
  </si>
  <si>
    <t>eVAT [B-eVAT][EVAT][HMRC-LON]</t>
  </si>
  <si>
    <t>FAS [B-dutyx][FAS][HMRC-NIR]</t>
  </si>
  <si>
    <t>FCO [D-p1bacx][FCO][FCO-LON]</t>
  </si>
  <si>
    <t>FCO [D-p1chpx][FCO][FCO-LON]</t>
  </si>
  <si>
    <t>Forestry Fund [D-p1bacx][FORESTRYFU][DEFRA-LON]</t>
  </si>
  <si>
    <t>GACA [B-dutyx][GACA][HMRC-NIR]</t>
  </si>
  <si>
    <t>GCHQ [D-p1bacx][GCHQ][MOD-OTH]</t>
  </si>
  <si>
    <t>GCHQ [D-p1chpx][GCHQ][MOD-OTH]</t>
  </si>
  <si>
    <t>Government Department's Foreign Exchange Payments [DZ-pfep][GOVERNMENT][HMT-LON]</t>
  </si>
  <si>
    <t>Grants to Rail Operators [D-p1bacx][GRANTSTORA][DFT-LON]</t>
  </si>
  <si>
    <t>Health [D-p1bacx][HEALTH][HEALTH-OTH]</t>
  </si>
  <si>
    <t>Health authorities [D-p1chpx][HEALTHAUTH][HEALTH-OTH]</t>
  </si>
  <si>
    <t>HEFCE [D-p1bacx][HEFCE][OTHER-EMI]</t>
  </si>
  <si>
    <t>Highways Agency [D-p1bacx][HIGHWAYSAG][TRANSPORT-LON]</t>
  </si>
  <si>
    <t>HMRC [D-p1boetx][HMRC][HMRC-LON]</t>
  </si>
  <si>
    <t>HMRC [D-p1chpx][HMRC][HMRC-LON]</t>
  </si>
  <si>
    <t>Home office [D-p1bacx][HOMEOFFICE][HOME-LON]</t>
  </si>
  <si>
    <t>Home office [D-p1chpx][HOMEOFFICE][HOME-LON]</t>
  </si>
  <si>
    <t>House of Commons [D-p1bacx][HOUSEOFCOM][CROWN-LON]</t>
  </si>
  <si>
    <t>Housing Benefits [D-p1bacx][HOUSINGBEN][DWP-LON]</t>
  </si>
  <si>
    <t>Housing Corporation [D-p1bacx][HOUSINGCOR][HMT-LON]</t>
  </si>
  <si>
    <t>Hydrocarbon Oil [B-dutyx][HYDROCARBO][HMRC-OTH]</t>
  </si>
  <si>
    <t>Identified Repayments [A-tid][IDENTIFIED][HMT-LON]</t>
  </si>
  <si>
    <t>In Credit Clearing [B-vetf][INCREDITCL][BOE-OTH]</t>
  </si>
  <si>
    <t>In Debit Clearing [B-vmtf][INDEBITCLE][BOE-OTH]</t>
  </si>
  <si>
    <t>Income Support [D-p1bacx][INCOMESUPP][DWP-LON]</t>
  </si>
  <si>
    <t>Inland Revenue transfers to OPG [AZ-iropg][INLANDREVE][INLAND-OTH]</t>
  </si>
  <si>
    <t>Inland Revenue transfers to OPG [DZ-iropg][INLANDREVE][INLAND-OTH]</t>
  </si>
  <si>
    <t>Insolvency Services [D-p1bacx][INSOLVENCY][HMT-LON]</t>
  </si>
  <si>
    <t>Insolvency Services [D-p1boetx][INSOLVENCY][HMT-LON]</t>
  </si>
  <si>
    <t>Insolvency Services [D-p1chpx][INSOLVENCY][HMT-LON]</t>
  </si>
  <si>
    <t>Interest Payments by CHAPS [L-chapsint][INTERESTPA][HMT-LON]</t>
  </si>
  <si>
    <t>IPT [B-dutyx][IPT][HMRC-NIR]</t>
  </si>
  <si>
    <t>IR balance transfer to CF [AZ-ircf][IRBALANCET][INLAND-OTH]</t>
  </si>
  <si>
    <t>IR Balance Transfer to CF [R-irbal][IRBALANCET][INLAND-OTH]</t>
  </si>
  <si>
    <t>IR transfers to NLF for CTD purchases [AZ-irnlfctd][IRTRANSFER][INLAND-OTH]</t>
  </si>
  <si>
    <t>IR transfers to NLF for CTD purchases [S-irnlfctd][IRTRANSFER][INLAND-OTH]</t>
  </si>
  <si>
    <t>ISA [A-tidx][ISA][HEALTH-OTH]</t>
  </si>
  <si>
    <t>JSA [A-tidx][JSA][HEALTH-OTH]</t>
  </si>
  <si>
    <t>Landfill tax [B-dutyx][LANDFILLTA][HMRC-LON]</t>
  </si>
  <si>
    <t>LAPR [A-tidx][LAPR][OTHER-EMI]</t>
  </si>
  <si>
    <t>Lottery [B-dutyx][LOTTERY][HMRC-NIR]</t>
  </si>
  <si>
    <t>LSC [D-p1chpx][LSC][OTHER-EMI]</t>
  </si>
  <si>
    <t>Mineworker Pensions [D-minepen][MINEWORKER][DWP-LON]</t>
  </si>
  <si>
    <t>MIRAS [A-tidx][MIRAS][OTHER-EMI]</t>
  </si>
  <si>
    <t>Misc. PMG Receipts [D-mscPR][MISC.PMGRE][OTHER-OTH]</t>
  </si>
  <si>
    <t>Miscellaneous [B-dutyx][MISC][OTHER-OTH]</t>
  </si>
  <si>
    <t>MOD Liverpool [D-p1bacx][MODLIVERPO][MOD-OTH]</t>
  </si>
  <si>
    <t>MOD Liverpool [D-p1chpx][MODLIVERPO][MOD-OTH]</t>
  </si>
  <si>
    <t>MOJ -Core [D-p1bacx][MOJ-CORE][MOJ-OTH]</t>
  </si>
  <si>
    <t>MOJ -Core [D-p1chpx][MOJ-CORE][MOJ-OTH]</t>
  </si>
  <si>
    <t>MOJ -Scotland [D-p1bacx][MOJ-SCOTLA][MOJ-SCO]</t>
  </si>
  <si>
    <t>MOJ -Scotland [D-p1chpx][MOJ-SCOTLA][MOJ-SCO]</t>
  </si>
  <si>
    <t>MOJ -Wales [D-p1chpx][MOJ-WALES][MOJ-WAL]</t>
  </si>
  <si>
    <t>Motor Vehicle Licensing [D-mvl][MOTORVEHIC][TRANSPORT-LON]</t>
  </si>
  <si>
    <t>MRC [D-p1chpx][MRC][OTHER-EMI]</t>
  </si>
  <si>
    <t>Nat West Bank Shipley [A-bnatw][NWTOSHIP][NATWEST-OTH]</t>
  </si>
  <si>
    <t>National Insurance Fund [AZ-iropgx][NIFUND][INLAND-OTH]</t>
  </si>
  <si>
    <t>National Insurance Fund [DZ-iropgx][NIFUND][INLAND-OTH]</t>
  </si>
  <si>
    <t>National Lottery Distribution Fund payments [D-pnldf][NATLOTTPAY][HMT-LON]</t>
  </si>
  <si>
    <t>National Lottery Distribution Fund receipts [D-nldfR][NATLOTTRCP][NSI-OTH]</t>
  </si>
  <si>
    <t>NDA [D-ndarec][NDA][OTHER-EMI]</t>
  </si>
  <si>
    <t>NDA [D-p1bacx][NDA][OTHER-EMI]</t>
  </si>
  <si>
    <t>NDA [D-p1chpx][NDA][OTHER-EMI]</t>
  </si>
  <si>
    <t>NHS Northern Ireland [A-tidx][NHSNORTHER][NHS-NIR]</t>
  </si>
  <si>
    <t>NHS Pensions [D-p1bacx][NHSPENSION][DWP-LON]</t>
  </si>
  <si>
    <t>NIB Notes paid [S-nibns][NIBNOTESPA][NICS-NIR]</t>
  </si>
  <si>
    <t>NIB notes redemptions by NLF to IMF [S-nibred][NIBNOTESRE][NICS-NIR]</t>
  </si>
  <si>
    <t>NIC dd [NIC dd][NICDD][INLAND-OTH]</t>
  </si>
  <si>
    <t>NIC to NI [A-tnini][NICTONI][INLAND-OTH]</t>
  </si>
  <si>
    <t>NICs to NIF [AZ-tnif][NICSTONIF][INLAND-OTH]</t>
  </si>
  <si>
    <t>NICs to NIF [DZ-tnif][NICSTONIF][INLAND-OTH]</t>
  </si>
  <si>
    <t>NIF Benefits Girobanks [D-p1chpx][NIFBENEFIT][DWP-LON]</t>
  </si>
  <si>
    <t>NIF3 [D-p1bacx][NIF3][INLAND-OTH]</t>
  </si>
  <si>
    <t>NLDF [D-p1chpx][NLDF][NSI-OTH]</t>
  </si>
  <si>
    <t>NLF interest payments to IR for CTD &amp; TRC [AZ-nlfirint][NLFPAYIRCA][HMT-LON]</t>
  </si>
  <si>
    <t>NLF interest payments to IR for CTD and TRC [S-irctdint][NLFPAYIRCB][HMT-LON]</t>
  </si>
  <si>
    <t>NLF interest repayments [D-nlfR][NLFINTRPAY][HMT-LON]</t>
  </si>
  <si>
    <t>NLF misc payments (Swing) [S-miscp][NLFMISCPAY][OTHER-OTH]</t>
  </si>
  <si>
    <t>NLF principal repayments [D-nlfP][NLFPRINCIP][HMT-LON]</t>
  </si>
  <si>
    <t>NNDR [D-oidrx][NNDR][NICS-NIR]</t>
  </si>
  <si>
    <t>Non-VAT BACS Repayments [B-notvatbacs][NON-VATBAC][HMT-LON]</t>
  </si>
  <si>
    <t>Non-VAT CHAPS Repayments [B-nonvatchaps][NON-VATCHA][HMT-LON]</t>
  </si>
  <si>
    <t>Non-VAT Payable Order Repayments [B-nonvatpo][NON-VATPAY][HMT-LON]</t>
  </si>
  <si>
    <t>Northern Ireland Customs &amp; Excise Transfer to CF [R-nice][NICUSTOMS][NICS-NIR]</t>
  </si>
  <si>
    <t>Northern Ireland Office [D-p1chpx][NIOFFICE][NICS-NIR]</t>
  </si>
  <si>
    <t>NTC / WFTC [A-tidx][NTCWFTC][NICS-NIR]</t>
  </si>
  <si>
    <t>O/n Adjustment [D-pzzzz][ONADJUSTME][OTHER-OTH]</t>
  </si>
  <si>
    <t>Oil [B-dutyx][OIL][HMRC-LON]</t>
  </si>
  <si>
    <t>OPG Transfers to Bank's Foriegn Exchange Acc [DZ-opgfe][OPGTXFRFX][OTHER-SOE]</t>
  </si>
  <si>
    <t>OPG transfers to IR [AZ-opgir][OPGTCFRIR][INLAND-OTH]</t>
  </si>
  <si>
    <t>OPG transfers to IR [DZ-opgir][OPGTCFRIR][INLAND-OTH]</t>
  </si>
  <si>
    <t>Ordnance Survey [D-p1bacx][ORDNANCESU][DEFRA-LON]</t>
  </si>
  <si>
    <t>Other [B-dutyx][OTHER][OTHER-OTH]</t>
  </si>
  <si>
    <t>Other BoE transfers [D-othboe][OTHERBOETR][BOE-OTH]</t>
  </si>
  <si>
    <t>Other identified [D-p1bacx][OTHERIDENT][OTHER-OTH]</t>
  </si>
  <si>
    <t>Other identified [D-p1chpx][OTHERIDENT][OTHER-OTH]</t>
  </si>
  <si>
    <t>Other Identified Payments [D-p1boetx][OTHERPAY][HMT-LON]</t>
  </si>
  <si>
    <t>Other identified receipts [D-oidr][OTHERRCPT][OTHER-SOE]</t>
  </si>
  <si>
    <t>Paymaster Lodgement [D-p1lod][PAYMASTER][HMT-LON]</t>
  </si>
  <si>
    <t>Payroll [D-p1bacx][PAYROLL][HMT-LON]</t>
  </si>
  <si>
    <t>Personal Pensions [A-tidx][PERSPEN][DWP-LON]</t>
  </si>
  <si>
    <t>Personal Pensions [D-p1bacx][PERSPEN][DWP-LON]</t>
  </si>
  <si>
    <t>POI Dept (excl revaluation) paid to NLF [S-pofis][POIDEPTEXC][OTHER-SOE]</t>
  </si>
  <si>
    <t>Police Grant [D-p1bacx][POLICEGRAN][HMT-LON]</t>
  </si>
  <si>
    <t>Post Office Loan [D-p1chpx][POLOAN][HOME-LON]</t>
  </si>
  <si>
    <t>Post Office loan repayment [D-oidrx][POLOANREP][HMT-LON]</t>
  </si>
  <si>
    <t>Principal repayments from NLF to NS&amp;I [F-nsppr][PRINCIPALR][HMT-LON]</t>
  </si>
  <si>
    <t>Profits of Issue [I-pofi][PROFITSOFI][OTHER-SOE]</t>
  </si>
  <si>
    <t>RBS Cumbernauld [A-bscot][RBSCUMBERN][RBS-SCO]</t>
  </si>
  <si>
    <t>Redemption Payment by CHAPS [L-chapsred][REDEMPTION][HMT-LON]</t>
  </si>
  <si>
    <t>Repayment of CTD interest [AZ-ctdirep][RPAYCTDITR][HMT-LON]</t>
  </si>
  <si>
    <t>Repayment of CTD principal [AZ-ctdprep][RPAYCRDPRN][HMT-LON]</t>
  </si>
  <si>
    <t>Repayment of maturing OPG TDs (incl interest) BACS [S-opgtdmat][RPAYMAT][HMT-LON]</t>
  </si>
  <si>
    <t>Research Councils [D-p1bacx][RESEARCHCO][EDU-OTH]</t>
  </si>
  <si>
    <t>Research Councils [D-p1chpx][RESEARCHCO][EDU-OTH]</t>
  </si>
  <si>
    <t>Residual [A-resid][RESIDUAL][OTHER-SOE]</t>
  </si>
  <si>
    <t>Residual [D-p1bacx][RESIDUAL][OTHER-SOE]</t>
  </si>
  <si>
    <t>Residual [D-p1chpx][RESIDUAL][OTHER-SOE]</t>
  </si>
  <si>
    <t>Residual CHAPS receipts [D-oidrx][RESIDUALCH][BOE-OTH]</t>
  </si>
  <si>
    <t>RSG England [D-p1bacx][RSGENGLAND][HOME-LON]</t>
  </si>
  <si>
    <t>RSG Scotland [D-p1bacx][RSGSCOTLAN][SCOTGOV-SCO]</t>
  </si>
  <si>
    <t>RSG Wales [D-p1bacx][RSGWALES][WELSHGOV-WAL]</t>
  </si>
  <si>
    <t>Rural Payments Agency [D-p1bacx][RURALPAYME][HMT-LON]</t>
  </si>
  <si>
    <t>Scotland NHS [AZ-iropgx][SCOTLANDNH][NHS-SCO]</t>
  </si>
  <si>
    <t>Scotland NHS [DZ-iropgx][SCOTLANDNH][NHS-SCO]</t>
  </si>
  <si>
    <t>Scottish Executive [D-p1chpx][SCOTTISHEX][SCOTGOV-SCO]</t>
  </si>
  <si>
    <t>Scottish Receipts [B-scot][SCOTTISHRE][SCOTGOV-SCO]</t>
  </si>
  <si>
    <t>SHEFC [D-p1bacx][SHEFC][HEALTH-OTH]</t>
  </si>
  <si>
    <t>Shipley Debit Card Receipts [A-shipdc][SHIPLEYDEB][SHIPLEY-LON]</t>
  </si>
  <si>
    <t>SLC [D-p1bacx][SLC][HEALTH-OTH]</t>
  </si>
  <si>
    <t>Social Security benefits [D-p1bacx][SOCIALSECU][DWP-LON]</t>
  </si>
  <si>
    <t>SRC [D-p1chpx][SRC][HEALTH-OTH]</t>
  </si>
  <si>
    <t>Student grants [D-p1chpx][STUDENTGRA][EDU-OTH]</t>
  </si>
  <si>
    <t>Student Loans [D-p1bacx][STUDENTLOA][EDU-OTH]</t>
  </si>
  <si>
    <t>TAPS [B-dutyx][TAPS][HMRC-NIR]</t>
  </si>
  <si>
    <t>TD principal maturing (non-OPG) [S-tdmat][TDPRINCIPA][NSI-OTH]</t>
  </si>
  <si>
    <t>TDs maturing (non-OPG) interest [S-tdint][TSDMATINT][NSI-OTH]</t>
  </si>
  <si>
    <t>TDs taken (non-OPG) [S-tdrnonopg][TDSTKNN][NSI-OTH]</t>
  </si>
  <si>
    <t>TDs taken (OPG) [S-tdropg][TDSTKNO][NSI-OTH]</t>
  </si>
  <si>
    <t>Teacher Training Agency [D-p1bacx][TEACHERTRA][EDU-OTH]</t>
  </si>
  <si>
    <t>Teachers Superannuation [D-p1chpx][TEACHERSSU][EDU-OTH]</t>
  </si>
  <si>
    <t>The Rest [B-dutyx][THEREST][HMRC-NIR]</t>
  </si>
  <si>
    <t>Tobacco [B-dutyx][TOBACCO][HMRC-LON]</t>
  </si>
  <si>
    <t>Total Cheques (HMRC Forecast) [A-chqtot][TOTALCHQ][HMRC-LON]</t>
  </si>
  <si>
    <t>VAT BACS Repayments [B-vrpay][VATBACSREP][HMRC-LON]</t>
  </si>
  <si>
    <t>VAT CHAPS Receipts [B-votc][VATCHPSREC][HMRC-LON]</t>
  </si>
  <si>
    <t>VAT CHAPS Repayments [B-yrpay][VATCHPSREP][HMRC-LON]</t>
  </si>
  <si>
    <t>VAT on imports [B-dutyx][VATIMPORT][HMRC-LON]</t>
  </si>
  <si>
    <t>VAT Payable Order Repayments [B-xrpay][VATPAYABLE][HMRC-LON]</t>
  </si>
  <si>
    <t>Wales NHS [AZ-iropgx][WALESNHS][NHS-WAL]</t>
  </si>
  <si>
    <t>Wales NHS [DZ-iropgx][WALESNHS][NHS-WAL]</t>
  </si>
  <si>
    <t>War Pensions Agency [D-p1bacx][WARPENSION][DWP-LON]</t>
  </si>
  <si>
    <t>Welsh Office [D-p1chpx][WELSHOFFIC][WELSHGOV-WAL]</t>
  </si>
  <si>
    <t>Wines and Spirits [B-dutyx][WINESANDSP][HMRC-LON]</t>
  </si>
  <si>
    <t>ALLIANCEAN/A-CGIRO</t>
  </si>
  <si>
    <t>ALLIANCEAN</t>
  </si>
  <si>
    <t>Alliance &amp; Leicester [A-cgiro][ALLIANCEAN][ALLIANCE-OTH]</t>
  </si>
  <si>
    <t>HMREVENUEA/D-P1BACX</t>
  </si>
  <si>
    <t>HMREVENUEA</t>
  </si>
  <si>
    <t>HM Revenue &amp; Customs [D-p1bacx][HMREVENUEA][HMRC-LON]</t>
  </si>
  <si>
    <t>LEARNINGAN/D-P1BACX</t>
  </si>
  <si>
    <t>LEARNINGAN</t>
  </si>
  <si>
    <t>Learning &amp; Skills Council [D-p1bacx][LEARNINGAN][EDU-OTH]</t>
  </si>
  <si>
    <t>NSANDIPAYM/F-NSPIN</t>
  </si>
  <si>
    <t>NSANDIPAYM</t>
  </si>
  <si>
    <t>NS&amp;I Payments -Interest &amp; PSB Prizes payments [F-nspin][NSANDIPAYM][HMT-LON]</t>
  </si>
  <si>
    <t>NSANDIRECE/F-NSREC</t>
  </si>
  <si>
    <t>NSANDIRECE</t>
  </si>
  <si>
    <t>NS&amp;I Receipts [F-nsrec][NSANDIRECE][NSI-OTH]</t>
  </si>
  <si>
    <t>NSANDITOTA/F-NSTOT</t>
  </si>
  <si>
    <t>NSANDITOTA</t>
  </si>
  <si>
    <t>NS&amp;I Total Forecast [F-nstot][NSANDITOTA][NSI-OTH]</t>
  </si>
  <si>
    <t>NSANDIWAYS/F-NSWM</t>
  </si>
  <si>
    <t>NSANDIWAYS</t>
  </si>
  <si>
    <t>NS&amp;I Ways &amp; Means into NLF [F-nswm][NSANDIWAYS][NSI-OTH]</t>
  </si>
  <si>
    <t>SFANDHEFC/D-P1BACX</t>
  </si>
  <si>
    <t>SFANDHEFC</t>
  </si>
  <si>
    <t>SF &amp; HEFC [D-p1bacx][SFANDHEFC][HEALTH-OTH]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</si>
</sst>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£&quot;* #,##0.00_-;\-&quot;£&quot;* #,##0.00_-;_-&quot;£&quot;* &quot;-&quot;??_-;_-@_-"/>
    <numFmt numFmtId="164" formatCode="yyyy\-mm\-dd;@"/>
    <numFmt numFmtId="165" formatCode="0.0000000"/>
  </numFmts>
  <fonts count="2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10" fillId="0" borderId="0" applyNumberFormat="0" applyFont="0" applyFill="0" applyBorder="0" applyAlignment="0" applyProtection="0"/>
    <xf numFmtId="0" fontId="9" fillId="0" borderId="0"/>
    <xf numFmtId="0" fontId="2" fillId="0" borderId="0"/>
    <xf numFmtId="0" fontId="4" fillId="0" borderId="0"/>
    <xf numFmtId="0" fontId="13" fillId="0" borderId="0" applyNumberFormat="0" applyFill="0" applyBorder="0" applyAlignment="0" applyProtection="0"/>
    <xf numFmtId="0" fontId="14" fillId="0" borderId="7" applyNumberFormat="0" applyFill="0" applyAlignment="0" applyProtection="0"/>
    <xf numFmtId="0" fontId="15" fillId="0" borderId="8" applyNumberFormat="0" applyFill="0" applyAlignment="0" applyProtection="0"/>
    <xf numFmtId="0" fontId="16" fillId="0" borderId="9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0" applyNumberFormat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6" borderId="10" applyNumberFormat="0" applyAlignment="0" applyProtection="0"/>
    <xf numFmtId="0" fontId="21" fillId="7" borderId="11" applyNumberFormat="0" applyAlignment="0" applyProtection="0"/>
    <xf numFmtId="0" fontId="22" fillId="7" borderId="10" applyNumberFormat="0" applyAlignment="0" applyProtection="0"/>
    <xf numFmtId="0" fontId="23" fillId="0" borderId="12" applyNumberFormat="0" applyFill="0" applyAlignment="0" applyProtection="0"/>
    <xf numFmtId="0" fontId="24" fillId="8" borderId="13" applyNumberFormat="0" applyAlignment="0" applyProtection="0"/>
    <xf numFmtId="0" fontId="25" fillId="0" borderId="0" applyNumberFormat="0" applyFill="0" applyBorder="0" applyAlignment="0" applyProtection="0"/>
    <xf numFmtId="0" fontId="12" fillId="9" borderId="14" applyNumberFormat="0" applyFont="0" applyAlignment="0" applyProtection="0"/>
    <xf numFmtId="0" fontId="26" fillId="0" borderId="0" applyNumberFormat="0" applyFill="0" applyBorder="0" applyAlignment="0" applyProtection="0"/>
    <xf numFmtId="0" fontId="27" fillId="0" borderId="15" applyNumberFormat="0" applyFill="0" applyAlignment="0" applyProtection="0"/>
    <xf numFmtId="0" fontId="28" fillId="10" borderId="0" applyNumberFormat="0" applyBorder="0" applyAlignment="0" applyProtection="0"/>
    <xf numFmtId="0" fontId="12" fillId="11" borderId="0" applyNumberFormat="0" applyBorder="0" applyAlignment="0" applyProtection="0"/>
    <xf numFmtId="0" fontId="12" fillId="12" borderId="0" applyNumberFormat="0" applyBorder="0" applyAlignment="0" applyProtection="0"/>
    <xf numFmtId="0" fontId="12" fillId="13" borderId="0" applyNumberFormat="0" applyBorder="0" applyAlignment="0" applyProtection="0"/>
    <xf numFmtId="0" fontId="28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6" borderId="0" applyNumberFormat="0" applyBorder="0" applyAlignment="0" applyProtection="0"/>
    <xf numFmtId="0" fontId="12" fillId="17" borderId="0" applyNumberFormat="0" applyBorder="0" applyAlignment="0" applyProtection="0"/>
    <xf numFmtId="0" fontId="28" fillId="18" borderId="0" applyNumberFormat="0" applyBorder="0" applyAlignment="0" applyProtection="0"/>
    <xf numFmtId="0" fontId="12" fillId="19" borderId="0" applyNumberFormat="0" applyBorder="0" applyAlignment="0" applyProtection="0"/>
    <xf numFmtId="0" fontId="12" fillId="20" borderId="0" applyNumberFormat="0" applyBorder="0" applyAlignment="0" applyProtection="0"/>
    <xf numFmtId="0" fontId="12" fillId="21" borderId="0" applyNumberFormat="0" applyBorder="0" applyAlignment="0" applyProtection="0"/>
    <xf numFmtId="0" fontId="28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4" borderId="0" applyNumberFormat="0" applyBorder="0" applyAlignment="0" applyProtection="0"/>
    <xf numFmtId="0" fontId="12" fillId="25" borderId="0" applyNumberFormat="0" applyBorder="0" applyAlignment="0" applyProtection="0"/>
    <xf numFmtId="0" fontId="28" fillId="26" borderId="0" applyNumberFormat="0" applyBorder="0" applyAlignment="0" applyProtection="0"/>
    <xf numFmtId="0" fontId="12" fillId="27" borderId="0" applyNumberFormat="0" applyBorder="0" applyAlignment="0" applyProtection="0"/>
    <xf numFmtId="0" fontId="12" fillId="28" borderId="0" applyNumberFormat="0" applyBorder="0" applyAlignment="0" applyProtection="0"/>
    <xf numFmtId="0" fontId="12" fillId="29" borderId="0" applyNumberFormat="0" applyBorder="0" applyAlignment="0" applyProtection="0"/>
    <xf numFmtId="0" fontId="28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2" fillId="33" borderId="0" applyNumberFormat="0" applyBorder="0" applyAlignment="0" applyProtection="0"/>
    <xf numFmtId="44" fontId="12" fillId="0" borderId="0" applyFont="0" applyFill="0" applyBorder="0" applyAlignment="0" applyProtection="0"/>
  </cellStyleXfs>
  <cellXfs count="34">
    <xf numFmtId="0" fontId="0" fillId="0" borderId="0" xfId="0"/>
    <xf numFmtId="0" fontId="5" fillId="2" borderId="3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2" borderId="4" xfId="6" applyFont="1" applyFill="1" applyBorder="1" applyAlignment="1">
      <alignment horizontal="center"/>
    </xf>
    <xf numFmtId="49" fontId="0" fillId="0" borderId="0" xfId="0" applyNumberFormat="1"/>
    <xf numFmtId="0" fontId="9" fillId="0" borderId="0" xfId="2" applyNumberFormat="1" applyFont="1" applyFill="1" applyBorder="1" applyAlignment="1"/>
    <xf numFmtId="0" fontId="6" fillId="0" borderId="2" xfId="1" applyBorder="1" applyAlignment="1" applyProtection="1"/>
    <xf numFmtId="49" fontId="1" fillId="0" borderId="0" xfId="6" applyNumberFormat="1" applyFont="1" applyFill="1" applyBorder="1" applyAlignment="1">
      <alignment wrapText="1"/>
    </xf>
    <xf numFmtId="0" fontId="0" fillId="0" borderId="0" xfId="0" applyNumberFormat="1"/>
    <xf numFmtId="0" fontId="1" fillId="2" borderId="5" xfId="6" applyNumberFormat="1" applyFont="1" applyFill="1" applyBorder="1" applyAlignment="1">
      <alignment horizontal="center"/>
    </xf>
    <xf numFmtId="0" fontId="1" fillId="0" borderId="0" xfId="6" applyNumberFormat="1" applyFont="1" applyFill="1" applyBorder="1" applyAlignment="1">
      <alignment wrapText="1"/>
    </xf>
    <xf numFmtId="49" fontId="1" fillId="2" borderId="5" xfId="6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5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20" fontId="0" fillId="0" borderId="0" xfId="0" applyNumberFormat="1"/>
    <xf numFmtId="0" fontId="5" fillId="2" borderId="6" xfId="6" applyNumberFormat="1" applyFont="1" applyFill="1" applyBorder="1" applyAlignment="1">
      <alignment horizontal="center"/>
    </xf>
    <xf numFmtId="14" fontId="0" fillId="0" borderId="0" xfId="0" applyNumberFormat="1"/>
    <xf numFmtId="0" fontId="1" fillId="2" borderId="6" xfId="6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4" fontId="1" fillId="2" borderId="5" xfId="6" applyNumberFormat="1" applyFont="1" applyFill="1" applyBorder="1" applyAlignment="1">
      <alignment horizontal="center"/>
    </xf>
    <xf numFmtId="14" fontId="0" fillId="0" borderId="0" xfId="0" quotePrefix="1" applyNumberFormat="1"/>
    <xf numFmtId="14" fontId="1" fillId="0" borderId="0" xfId="6" applyNumberFormat="1" applyFont="1" applyFill="1" applyBorder="1" applyAlignment="1">
      <alignment wrapText="1"/>
    </xf>
    <xf numFmtId="0" fontId="0" fillId="0" borderId="0" xfId="0"/>
    <xf numFmtId="14" fontId="0" fillId="0" borderId="0" xfId="0" applyNumberFormat="1"/>
    <xf numFmtId="0" fontId="27" fillId="0" borderId="0" xfId="0" applyNumberFormat="1" applyFont="1"/>
    <xf numFmtId="0" fontId="18" fillId="4" borderId="5" xfId="13" applyNumberFormat="1" applyBorder="1" applyAlignment="1">
      <alignment horizontal="center"/>
    </xf>
    <xf numFmtId="0" fontId="18" fillId="4" borderId="0" xfId="13"/>
    <xf numFmtId="0" fontId="18" fillId="4" borderId="6" xfId="13" applyNumberFormat="1" applyBorder="1" applyAlignment="1">
      <alignment horizontal="center"/>
    </xf>
    <xf numFmtId="14" fontId="18" fillId="4" borderId="5" xfId="13" applyNumberFormat="1" applyBorder="1" applyAlignment="1">
      <alignment horizontal="center"/>
    </xf>
  </cellXfs>
  <cellStyles count="49">
    <cellStyle name="20% - Accent1" xfId="25" builtinId="30" customBuiltin="1"/>
    <cellStyle name="20% - Accent2" xfId="29" builtinId="34" customBuiltin="1"/>
    <cellStyle name="20% - Accent3" xfId="33" builtinId="38" customBuiltin="1"/>
    <cellStyle name="20% - Accent4" xfId="37" builtinId="42" customBuiltin="1"/>
    <cellStyle name="20% - Accent5" xfId="41" builtinId="46" customBuiltin="1"/>
    <cellStyle name="20% - Accent6" xfId="45" builtinId="50" customBuiltin="1"/>
    <cellStyle name="40% - Accent1" xfId="26" builtinId="31" customBuiltin="1"/>
    <cellStyle name="40% - Accent2" xfId="30" builtinId="35" customBuiltin="1"/>
    <cellStyle name="40% - Accent3" xfId="34" builtinId="39" customBuiltin="1"/>
    <cellStyle name="40% - Accent4" xfId="38" builtinId="43" customBuiltin="1"/>
    <cellStyle name="40% - Accent5" xfId="42" builtinId="47" customBuiltin="1"/>
    <cellStyle name="40% - Accent6" xfId="46" builtinId="51" customBuiltin="1"/>
    <cellStyle name="60% - Accent1" xfId="27" builtinId="32" customBuiltin="1"/>
    <cellStyle name="60% - Accent2" xfId="31" builtinId="36" customBuiltin="1"/>
    <cellStyle name="60% - Accent3" xfId="35" builtinId="40" customBuiltin="1"/>
    <cellStyle name="60% - Accent4" xfId="39" builtinId="44" customBuiltin="1"/>
    <cellStyle name="60% - Accent5" xfId="43" builtinId="48" customBuiltin="1"/>
    <cellStyle name="60% - Accent6" xfId="47" builtinId="52" customBuiltin="1"/>
    <cellStyle name="Accent1" xfId="24" builtinId="29" customBuiltin="1"/>
    <cellStyle name="Accent2" xfId="28" builtinId="33" customBuiltin="1"/>
    <cellStyle name="Accent3" xfId="32" builtinId="37" customBuiltin="1"/>
    <cellStyle name="Accent4" xfId="36" builtinId="41" customBuiltin="1"/>
    <cellStyle name="Accent5" xfId="40" builtinId="45" customBuiltin="1"/>
    <cellStyle name="Accent6" xfId="44" builtinId="49" customBuiltin="1"/>
    <cellStyle name="Bad" xfId="13" builtinId="27" customBuiltin="1"/>
    <cellStyle name="Calculation" xfId="17" builtinId="22" customBuiltin="1"/>
    <cellStyle name="Check Cell" xfId="19" builtinId="23" customBuiltin="1"/>
    <cellStyle name="Currency 2" xfId="48"/>
    <cellStyle name="Explanatory Text" xfId="22" builtinId="53" customBuiltin="1"/>
    <cellStyle name="Good" xfId="12" builtinId="26" customBuiltin="1"/>
    <cellStyle name="Heading 1" xfId="8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" builtinId="8"/>
    <cellStyle name="Input" xfId="15" builtinId="20" customBuiltin="1"/>
    <cellStyle name="Linked Cell" xfId="18" builtinId="24" customBuiltin="1"/>
    <cellStyle name="Neutral" xfId="14" builtinId="28" customBuiltin="1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te" xfId="21" builtinId="10" customBuiltin="1"/>
    <cellStyle name="Output" xfId="16" builtinId="21" customBuiltin="1"/>
    <cellStyle name="Title" xfId="7" builtinId="15" customBuiltin="1"/>
    <cellStyle name="Total" xfId="23" builtinId="25" customBuiltin="1"/>
    <cellStyle name="Warning Text" xfId="20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3</xdr:row>
      <xdr:rowOff>0</xdr:rowOff>
    </xdr:from>
    <xdr:to>
      <xdr:col>13</xdr:col>
      <xdr:colOff>246781</xdr:colOff>
      <xdr:row>49</xdr:row>
      <xdr:rowOff>141762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571500"/>
          <a:ext cx="6952381" cy="8904762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XMLDealGenerator-Accounts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SL" refreshedDate="42460.695671875001" createdVersion="5" refreshedVersion="5" minRefreshableVersion="3" recordCount="2723">
  <cacheSource type="worksheet">
    <worksheetSource ref="A1:O1048576" sheet="Spot" r:id="rId2"/>
  </cacheSource>
  <cacheFields count="15">
    <cacheField name="Key" numFmtId="0">
      <sharedItems containsBlank="1"/>
    </cacheField>
    <cacheField name="DealType" numFmtId="0">
      <sharedItems containsBlank="1"/>
    </cacheField>
    <cacheField name="MsgID" numFmtId="0">
      <sharedItems containsBlank="1"/>
    </cacheField>
    <cacheField name="ExecType" numFmtId="0">
      <sharedItems containsString="0" containsBlank="1" containsNumber="1" containsInteger="1" minValue="0" maxValue="0"/>
    </cacheField>
    <cacheField name="TradeDate" numFmtId="0">
      <sharedItems containsNonDate="0" containsDate="1" containsString="0" containsBlank="1" minDate="2016-03-31T00:00:00" maxDate="2016-04-01T00:00:00"/>
    </cacheField>
    <cacheField name="ExtRefNo" numFmtId="0">
      <sharedItems containsBlank="1" containsMixedTypes="1" containsNumber="1" containsInteger="1" minValue="1795" maxValue="312148139" count="2721">
        <n v="30102373"/>
        <s v="32-1458747973-1753-409739"/>
        <s v="1191-1458747966-6284-4668090"/>
        <s v="10-1458747965-9604-4642443"/>
        <s v="1516-1458747964-3083-4604414"/>
        <s v="172-1458747961-4002-438740"/>
        <s v="239-1458747961-3393-4110577"/>
        <s v="578-1458747958-5958-709355"/>
        <s v="743-1458747957-0414-3855820"/>
        <s v="12-1458747955-8583-79142"/>
        <s v="1477-1458747954-2582-4668086"/>
        <s v="10-1458747952-6386-4668082"/>
        <s v="578-1458747929-3092-698999"/>
        <s v="47-1458747922-3112-4668078"/>
        <s v="239-1458747920-4288-3878164"/>
        <n v="49643475"/>
        <s v="578-1458747899-5216-695531"/>
        <s v="443-1458747895-8896-4668074"/>
        <s v="10-1458747895-6215-3696074"/>
        <s v="48-1458747889-4003-4668070"/>
        <s v="10-1458747888-2701-747890"/>
        <s v="5-1458747888-4497-981592"/>
        <s v="12-1458747864-4549-4668066"/>
        <s v="1573-1458747861-6705-4570376"/>
        <s v="12-1458747839-951-4437481"/>
        <s v="578-1458747837-2731-728249"/>
        <s v="346-1458747834-9711-2739552"/>
        <s v="12-1458747822-5893-3880573"/>
        <s v="598-1458747780-1495-630068"/>
        <s v="12-1458747779-6883-3470288"/>
        <s v="32-1458747776-2446-4593230"/>
        <n v="49642961"/>
        <s v="59-1458747755-8004-177198"/>
        <s v="32-1458747735-4885-45867"/>
        <s v="10-1458747730-8384-4157698"/>
        <s v="47-1458747716-3919-4527356"/>
        <s v="99-1458747715-5691-4333021"/>
        <s v="10-1458747715-5231-4157698"/>
        <s v="12-1458747714-6975-242566"/>
        <s v="5-1458747664-3943-28187"/>
        <s v="73-1458747655-5357-1924722"/>
        <s v="1477-1458747648-068-4668062"/>
        <s v="12-1458747646-9144-162830"/>
        <s v="10-1458747637-9432-447194"/>
        <s v="228-1458747634-4582-4658650"/>
        <s v="12-1458747630-7564-3880573"/>
        <s v="10-1458747620-9974-4419382"/>
        <n v="30102289"/>
        <s v="10-1458747601-2344-1936929"/>
        <s v="10-1458747598-3599-17347"/>
        <s v="10-1458747558-7704-12603"/>
        <s v="578-1458747551-6804-4297777"/>
        <s v="419-1458747551-7383-1351758"/>
        <s v="5-1458747549-6368-4540502"/>
        <s v="99-1458747532-4013-4293976"/>
        <s v="424-1458747530-3813-4569053"/>
        <s v="10-1458747523-6589-4271683"/>
        <s v="12-1458747510-6665-712241"/>
        <s v="59-1458747498-5332-107596"/>
        <s v="12-1458747493-9397-4576319"/>
        <s v="10-1458747488-2013-4271683"/>
        <s v="10-1458747478-6403-4373083"/>
        <s v="47-1458747471-0059-4594049"/>
        <s v="32-1458747463-3011-254603"/>
        <s v="578-1458747432-1216-698909"/>
        <s v="239-1458747395-789-153187"/>
        <n v="30102229"/>
        <s v="73-1458747395-0444-4605038"/>
        <s v="21-1458747392-6295-6938"/>
        <s v="10-1458747392-5247-1811028"/>
        <s v="48-1458747375-3016-179622"/>
        <s v="12-1458747368-724-160054"/>
        <n v="30102217"/>
        <s v="32-1458747346-1867-740636"/>
        <n v="30102215"/>
        <s v="133-1458747339-5966-4664598"/>
        <s v="5-1458747333-6662-33367"/>
        <s v="5-1458747330-374-706457"/>
        <s v="99-1458747312-7371-4364311"/>
        <n v="30102204"/>
        <n v="312148139"/>
        <s v="12-1458747272-4261-242566"/>
        <s v="10-1458747269-1438-4147783"/>
        <s v="10-1458747266-0679-4532945"/>
        <s v="59-1458747263-2745-4440019"/>
        <n v="49640659"/>
        <s v="442-1458747232-1663-4665642"/>
        <s v="1138-1458747221-4579-4668034"/>
        <s v="10-1458747215-8776-4668030"/>
        <s v="1396-1458747199-9539-4594052"/>
        <n v="30102174"/>
        <n v="30102166"/>
        <s v="346-1458747174-2881-769199"/>
        <s v="12-1458747161-4162-3378623"/>
        <s v="32-1458747157-3299-4668026"/>
        <s v="12-1458747157-0487-3754099"/>
        <s v="1396-1458747151-9611-4651539"/>
        <s v="12-1458747152-607-242566"/>
        <n v="49640373"/>
        <s v="1396-1458747136-7104-4548416"/>
        <s v="5-1458747115-0895-4251424"/>
        <s v="1396-1458747109-002-4647655"/>
        <n v="30102144"/>
        <s v="12-1458747107-7676-504302"/>
        <s v="99-1458747093-9202-4601033"/>
        <s v="99-1458747074-9606-4498925"/>
        <s v="12-1458747073-5104-74723"/>
        <s v="1396-1458747056-5281-4647607"/>
        <s v="73-1458747051-5617-175897"/>
        <s v="1477-1458747040-669-4668018"/>
        <s v="34-1458747035-7105-260240"/>
        <s v="32-1458747033-3521-43793"/>
        <n v="30102114"/>
        <s v="1396-1458747016-9331-4507037"/>
        <s v="578-1458747015-7541-1159286"/>
        <s v="73-1458747010-0108-4605038"/>
        <s v="5-1458747006-3157-4099414"/>
        <s v="73-1458747001-7362-729725"/>
        <s v="419-1458746988-312-2616219"/>
        <s v="5-1458746979-1341-33367"/>
        <s v="32-1458746969-1533-46317"/>
        <s v="346-1458746967-766-4344646"/>
        <s v="73-1458746965-2139-2608614"/>
        <s v="12-1458746925-6373-232267"/>
        <s v="10-1458746925-3115-4640951"/>
        <s v="133-1458746898-0178-245404"/>
        <s v="578-1458746880-1779-693467"/>
        <s v="10-1458746876-7767-4652239"/>
        <s v="12-1458746859-0184-74723"/>
        <s v="99-1458746856-6198-4313449"/>
        <s v="10-1458746852-0069-4652239"/>
        <n v="312147259"/>
        <s v="12-1458746822-3781-160054"/>
        <s v="1304-1458746816-506-4668010"/>
        <s v="21-1458746798-6198-2525232"/>
        <s v="1138-1458746797-6346-4667830"/>
        <s v="5-1458746783-5734-4251424"/>
        <n v="30102044"/>
        <s v="1516-1458746761-2612-4662278"/>
        <s v="47-1458746751-6595-1637916"/>
        <s v="239-1458746725-2934-4250266"/>
        <s v="12-1458746723-0252-504302"/>
        <n v="49638461"/>
        <s v="888-1458746702-8697-4300036"/>
        <s v="5-1458746699-1479-654461"/>
        <s v="10-1458746684-9189-747890"/>
        <s v="133-1458746677-2198-245404"/>
        <s v="5-1458746676-1607-26895"/>
        <s v="598-1458746670-7232-630068"/>
        <s v="12-1458746645-0324-74723"/>
        <s v="5-1458746630-9664-950141"/>
        <s v="12-1458746615-5821-4668002"/>
        <s v="12-1458746617-6621-4188574"/>
        <n v="312146859"/>
        <s v="47-1458746602-2425-4576292"/>
        <n v="30101992"/>
        <s v="10-1458746576-4833-680093"/>
        <s v="10-1458746558-6642-4507835"/>
        <s v="10-1458746549-0741-4406614"/>
        <s v="12-1458746530-5054-3440300"/>
        <n v="30101972"/>
        <s v="601-1458746518-6244-4628231"/>
        <s v="12-1458746508-0233-3880573"/>
        <s v="346-1458746478-4659-789497"/>
        <s v="5-1458746462-9496-950141"/>
        <s v="48-1458746459-8885-4667998"/>
        <s v="7-1458746459-6368-2403543"/>
        <s v="346-1458746445-925-1556625"/>
        <s v="32-1458746441-2677-84375"/>
        <n v="312146539"/>
        <n v="312146521"/>
        <s v="10-1458746424-32-4544198"/>
        <s v="12-1458746418-1853-74723"/>
        <n v="312146497"/>
        <s v="99-1458746406-3206-4610931"/>
        <s v="10-1458746406-2932-3898936"/>
        <n v="30101940"/>
        <s v="215-1458746392-7784-2904197"/>
        <s v="232-1458746374-0085-4628775"/>
        <s v="620-1458746361-8275-1239471"/>
        <s v="10-1458746353-0718-4667118"/>
        <s v="1516-1458746345-6214-4604414"/>
        <s v="1477-1458746335-1608-4667986"/>
        <s v="424-1458746316-5021-2249509"/>
        <n v="30101912"/>
        <s v="47-1458746303-4703-4667978"/>
        <s v="12-1458746300-9501-1744713"/>
        <s v="10-1458746289-9602-4481066"/>
        <s v="578-1458746271-9581-4339171"/>
        <s v="5-1458746270-7727-4598606"/>
        <s v="12-1458746270-3384-4637351"/>
        <s v="10-1458746265-0912-4481066"/>
        <s v="5-1458746249-012-950141"/>
        <s v="5-1458746239-2328-981592"/>
        <s v="578-1458746231-952-929243"/>
        <n v="312146149"/>
        <s v="12-1458746220-1434-367613"/>
        <s v="73-1458746217-7703-175897"/>
        <s v="10-1458746217-4327-378850"/>
        <s v="573-1458746216-7475-4643931"/>
        <n v="312146095"/>
        <s v="73-1458746193-2341-806384"/>
        <n v="30101890"/>
        <s v="99-1458746173-1437-4346641"/>
        <s v="743-1458746168-6551-3855820"/>
        <s v="346-1458746166-6739-634796"/>
        <s v="10-1458746162-6717-4663102"/>
        <n v="312146011"/>
        <s v="5-1458746156-7567-620771"/>
        <s v="12-1458746144-1377-4479257"/>
        <s v="99-1458746126-5229-4313140"/>
        <s v="73-1458746122-7364-4440571"/>
        <s v="578-1458746116-6377-775367"/>
        <n v="49635637"/>
        <n v="30101860"/>
        <s v="59-1458746096-7529-4277233"/>
        <s v="419-1458746095-5156-493139"/>
        <n v="30101859"/>
        <s v="10-1458746083-0439-4544198"/>
        <n v="49635797"/>
        <s v="578-1458746071-8956-4339171"/>
        <s v="99-1458746070-9387-4296232"/>
        <s v="32-1458746069-3562-55981"/>
        <s v="32-1458746066-9969-91885"/>
        <n v="312145809"/>
        <n v="312145769"/>
        <s v="5-1458746039-7721-620264"/>
        <n v="312145745"/>
        <s v="10-1458746020-3697-4489325"/>
        <s v="73-1458746002-7804-651677"/>
        <s v="47-1458745998-0812-1642266"/>
        <n v="312145683"/>
        <n v="312145663"/>
        <s v="10-1458745981-9407-4482"/>
        <n v="312145641"/>
        <s v="51-1458745978-2864-451269"/>
        <s v="73-1458745976-7035-3011747"/>
        <s v="133-1458745964-5161-4664598"/>
        <s v="5-1458745957-9398-4228378"/>
        <s v="34-1458745953-7375-4639375"/>
        <s v="419-1458745948-2101-638288"/>
        <s v="419-1458745947-0684-493139"/>
        <s v="5-1458745944-7822-1494702"/>
        <s v="34-1458745944-8607-40251"/>
        <s v="12-1458745943-9621-176202"/>
        <s v="10-1458745943-7802-4481066"/>
        <n v="30101811"/>
        <n v="312145547"/>
        <s v="12-1458745927-2825-4620111"/>
        <n v="312145521"/>
        <s v="12-1458745916-335-4479257"/>
        <s v="10-1458745911-6181-2285760"/>
        <n v="312145483"/>
        <s v="5-1458745909-1416-390239"/>
        <n v="312145465"/>
        <s v="10-1458745896-1596-4042999"/>
        <s v="10-1458745893-2358-4409302"/>
        <s v="12-1458745890-6714-3880573"/>
        <n v="312145451"/>
        <n v="312145441"/>
        <n v="312145435"/>
        <s v="10-1458745878-5418-4481066"/>
        <s v="232-1458745876-804-4628775"/>
        <s v="73-1458745873-8392-729725"/>
        <s v="10-1458745872-0645-4520051"/>
        <s v="32-1458745863-3439-84375"/>
        <s v="12-1458745862-1136-3537092"/>
        <s v="5-1458745861-1447-968248"/>
        <s v="5-1458745856-8817-220941"/>
        <s v="10-1458745856-9048-4520051"/>
        <s v="10-1458745855-5041-2285760"/>
        <s v="10-1458745849-9941-22461"/>
        <s v="10-1458745845-0467-4481066"/>
        <s v="1477-1458745842-5852-4667950"/>
        <n v="312145347"/>
        <s v="10-1458745835-9457-4667946"/>
        <s v="10-1458745833-4772-4520051"/>
        <s v="420-1458745832-0254-495153"/>
        <s v="1138-1458745827-3533-4652566"/>
        <s v="346-1458745823-1455-733037"/>
        <n v="312145317"/>
        <s v="10-1458745817-1855-4520051"/>
        <n v="312145305"/>
        <n v="312145279"/>
        <n v="312145273"/>
        <s v="10-1458745794-2632-4520051"/>
        <s v="346-1458745792-5763-754313"/>
        <n v="30101759"/>
        <s v="743-1458745778-9528-4572461"/>
        <s v="10-1458745775-547-4520051"/>
        <n v="312145237"/>
        <s v="420-1458745769-0239-2941454"/>
        <n v="312145233"/>
        <n v="312145215"/>
        <s v="10-1458745750-3277-4445950"/>
        <s v="10-1458745745-5352-4591436"/>
        <s v="73-1458745739-6327-651677"/>
        <s v="419-1458745727-5179-493139"/>
        <s v="1477-1458745719-6084-4667930"/>
        <s v="10-1458745712-4883-4532945"/>
        <s v="32-1458745707-8448-2175007"/>
        <n v="312145153"/>
        <s v="10-1458745706-5083-4511594"/>
        <s v="1138-1458745703-7572-4667830"/>
        <s v="346-1458745698-9035-789497"/>
        <s v="99-1458745697-7087-4596212"/>
        <s v="32-1458745690-8252-436550"/>
        <n v="312145135"/>
        <n v="312145131"/>
        <n v="312145133"/>
        <s v="12-1458745667-5267-4663274"/>
        <n v="312145089"/>
        <s v="10-1458745662-0217-4667226"/>
        <s v="5-1458745648-0275-26043"/>
        <s v="419-1458745631-973-1193804"/>
        <s v="73-1458745628-6507-175897"/>
        <s v="12-1458745624-4426-1744713"/>
        <s v="346-1458745623-5284-792584"/>
        <s v="73-1458745611-949-4605038"/>
        <s v="683-1458745588-5695-4667914"/>
        <s v="743-1458745578-9015-4532876"/>
        <s v="133-1458745571-3694-245404"/>
        <s v="10-1458745562-2784-4643743"/>
        <s v="578-1458745551-1321-844556"/>
        <s v="346-1458745542-7891-4667910"/>
        <n v="30101686"/>
        <s v="51-1458745545-9478-3891667"/>
        <s v="73-1458745537-149-4241785"/>
        <s v="5-1458745528-548-220941"/>
        <s v="620-1458745524-7701-1229160"/>
        <n v="312144881"/>
        <s v="572-1458745515-3083-4425166"/>
        <s v="32-1458745511-7134-4563545"/>
        <s v="419-1458745485-5535-493139"/>
        <s v="133-1458745484-2526-4664598"/>
        <s v="572-1458745478-7164-4573010"/>
        <s v="10-1458745475-3044-50775"/>
        <s v="10-1458745459-7319-4573685"/>
        <s v="10-1458745444-8949-4121392"/>
        <s v="239-1458745430-0549-1739964"/>
        <n v="30101650"/>
        <s v="10-1458745403-8138-4663958"/>
        <s v="12-1458745397-6544-1646094"/>
        <s v="12-1458745393-1743-3302711"/>
        <s v="10-1458745386-9964-49247"/>
        <s v="12-1458745384-1739-3719651"/>
        <s v="12-1458745381-1893-4620111"/>
        <s v="12-1458745369-5444-4667898"/>
        <s v="10-1458745368-2832-1142420"/>
        <s v="48-1458745367-0353-4539290"/>
        <s v="1292-1458745358-8455-4667894"/>
        <n v="312144699"/>
        <s v="73-1458745353-0134-3932332"/>
        <s v="346-1458745350-0647-1118828"/>
        <s v="578-1458745346-327-1165457"/>
        <s v="10-1458745322-9349-313029"/>
        <s v="32-1458745322-3777-4647299"/>
        <s v="424-1458745319-3727-4521119"/>
        <s v="346-1458745316-776-4638091"/>
        <s v="10-1458745307-9548-4339717"/>
        <s v="419-1458745304-7565-4639303"/>
        <s v="73-1458745300-9604-729725"/>
        <n v="30101595"/>
        <s v="1513-1458745288-2285-4664482"/>
        <s v="346-1458745282-8995-769199"/>
        <s v="73-1458745282-9367-1585404"/>
        <s v="21-1458745279-0994-1221746"/>
        <s v="10-1458745274-1169-4399045"/>
        <s v="419-1458745272-4116-638288"/>
        <n v="312144585"/>
        <n v="30101586"/>
        <s v="346-1458745246-1096-4667874"/>
        <s v="10-1458745248-7874-313029"/>
        <s v="419-1458745239-943-493139"/>
        <s v="51-1458745233-8376-3891667"/>
        <s v="420-1458745221-926-959239"/>
        <s v="12-1458745219-7186-3880573"/>
        <s v="10-1458745215-0566-302450"/>
        <n v="30101566"/>
        <s v="419-1458745210-5591-2006085"/>
        <s v="10-1458745203-5605-4392052"/>
        <s v="578-1458745187-618-1365714"/>
        <s v="10-1458745186-1212-4404499"/>
        <s v="1513-1458745177-7599-4664482"/>
        <s v="12-1458745172-0881-3550862"/>
        <n v="30101558"/>
        <s v="228-1458745154-0413-4351249"/>
        <s v="73-1458745144-6511-651677"/>
        <s v="12-1458745137-3589-1626960"/>
        <s v="573-1458745133-7812-4384558"/>
        <s v="419-1458745126-5135-1425933"/>
        <s v="10-1458745118-9836-4020427"/>
        <s v="1477-1458745105-6536-4667866"/>
        <s v="10-1458745085-5947-4399045"/>
        <s v="10-1458745083-2972-4484831"/>
        <s v="12-1458745081-1667-3661568"/>
        <s v="420-1458745080-0605-959239"/>
        <s v="419-1458745072-9819-1038088"/>
        <s v="10-1458745063-6148-4495"/>
        <s v="346-1458745053-7046-733037"/>
        <s v="419-1458745052-3782-516435"/>
        <n v="49631635"/>
        <s v="12-1458745043-7303-2607075"/>
        <s v="20-1458745040-4399-211223"/>
        <s v="5-1458745033-695-467496"/>
        <s v="10-1458745027-9962-4399045"/>
        <s v="99-1458745008-3355-4303411"/>
        <s v="578-1458744997-6641-4667858"/>
        <n v="30101518"/>
        <s v="73-1458744979-1641-729725"/>
        <s v="743-1458744971-8577-4667854"/>
        <s v="12-1458744967-9846-3880573"/>
        <s v="12-1458744959-5635-3550862"/>
        <s v="99-1458744957-8664-4636459"/>
        <s v="620-1458744942-8757-4133653"/>
        <s v="12-1458744937-6451-833411"/>
        <s v="228-1458744936-4733-4391284"/>
        <s v="419-1458744933-0669-638288"/>
        <s v="420-1458744921-7667-959239"/>
        <s v="47-1458744910-0566-3401063"/>
        <s v="10-1458744892-4863-62775"/>
        <s v="59-1458744889-4391-4603730"/>
        <s v="12-1458744883-9673-3880573"/>
        <s v="1212-1458744867-2249-4667846"/>
        <s v="12-1458744865-9126-1626960"/>
        <s v="51-1458744857-748-632594"/>
        <s v="10-1458744855-8205-4634323"/>
        <s v="12-1458744847-6659-1744713"/>
        <s v="32-1458744839-7283-1662450"/>
        <s v="12-1458744838-1481-3391997"/>
        <n v="30101459"/>
        <s v="12-1458744831-9088-73895"/>
        <s v="7-1458744814-8135-666680"/>
        <s v="5-1458744808-3472-43319"/>
        <n v="30101452"/>
        <s v="12-1458744796-669-3880573"/>
        <s v="59-1458744778-6683-2692572"/>
        <s v="21-1458744774-5898-4501160"/>
        <s v="578-1458744773-1726-4425739"/>
        <n v="1797"/>
        <s v="12-1458744751-7337-3395168"/>
        <s v="419-1458744743-3328-638288"/>
        <s v="73-1458744741-091-729725"/>
        <s v="1138-1458744724-6411-4667830"/>
        <s v="32-1458744701-072-4184599"/>
        <s v="12-1458744701-1121-4657666"/>
        <s v="346-1458744696-7016-4409881"/>
        <s v="32-1458744687-9131-4667790"/>
        <n v="30101418"/>
        <s v="10-1458744684-5437-278039"/>
        <s v="12-1458744674-276-3880573"/>
        <n v="30101410"/>
        <s v="10-1458744661-483-790322"/>
        <s v="1164-1458744637-5227-4008322"/>
        <s v="346-1458744632-376-4650975"/>
        <s v="10-1458744622-0155-4667118"/>
        <s v="47-1458744605-8617-4667822"/>
        <s v="5-1458744604-6309-952652"/>
        <s v="419-1458744603-8287-638288"/>
        <s v="5-1458744591-9344-1472247"/>
        <s v="12-1458744585-842-1744713"/>
        <s v="12-1458744578-5757-4660998"/>
        <s v="10-1458744574-4951-4591532"/>
        <s v="47-1458744574-015-4667818"/>
        <s v="99-1458744546-4275-4603787"/>
        <s v="12-1458744543-8945-582346"/>
        <n v="49629507"/>
        <s v="12-1458744535-6056-3396725"/>
        <s v="73-1458744525-6613-2608614"/>
        <n v="49629325"/>
        <s v="48-1458744508-4891-4576418"/>
        <s v="32-1458744506-925-2175007"/>
        <s v="420-1458744505-475-2502183"/>
        <s v="12-1458744502-269-4650263"/>
        <n v="49629315"/>
        <s v="346-1458744485-6355-4254412"/>
        <s v="189-1458744483-2691-4667806"/>
        <s v="48-1458744478-6751-1638633"/>
        <s v="7-1458744474-7197-2403543"/>
        <s v="7-1458744464-7378-653894"/>
        <s v="73-1458744449-8273-974818"/>
        <s v="10-1458744445-7286-2713593"/>
        <s v="743-1458744439-9898-3855820"/>
        <n v="30101342"/>
        <s v="12-1458744429-7634-74239"/>
        <s v="32-1458744417-2214-4233706"/>
        <n v="30101338"/>
        <s v="73-1458744397-8013-651677"/>
        <s v="73-1458744389-9862-1924722"/>
        <s v="10-1458744380-0375-4317853"/>
        <s v="578-1458744373-7219-691664"/>
        <s v="578-1458744373-5447-701249"/>
        <s v="10-1458744362-9497-3527885"/>
        <s v="10-1458744359-9271-1142420"/>
        <s v="99-1458744352-3952-4298974"/>
        <s v="419-1458744349-8877-4639303"/>
        <s v="578-1458744338-3127-4527467"/>
        <s v="73-1458744333-8811-2608614"/>
        <s v="10-1458744331-773-4406302"/>
        <s v="10-1458744322-3811-4317853"/>
        <s v="12-1458744321-7822-3537092"/>
        <s v="12-1458744320-643-4385863"/>
        <n v="30101304"/>
        <s v="10-1458744310-9835-16821"/>
        <s v="12-1458744309-1838-3909664"/>
        <s v="232-1458744304-5996-4491176"/>
        <s v="12-1458744287-524-3537092"/>
        <n v="30101302"/>
        <s v="73-1458744264-3527-2287455"/>
        <s v="10-1458744261-3549-7803"/>
        <n v="30101295"/>
        <n v="30101290"/>
        <s v="47-1458744238-3504-4535294"/>
        <s v="32-1458744230-6255-43811"/>
        <s v="73-1458744228-8035-4605038"/>
        <s v="10-1458744227-2555-7803"/>
        <s v="32-1458744226-6033-432874"/>
        <s v="12-1458744225-2257-196143"/>
        <s v="12-1458744223-8819-1744713"/>
        <s v="32-1458744221-2636-4667790"/>
        <s v="12-1458744209-7061-4667786"/>
        <s v="10-1458744209-2463-2950799"/>
        <s v="133-1458744207-121-4665182"/>
        <s v="419-1458744202-5512-4613181"/>
        <s v="10-1458744197-1844-4484831"/>
        <s v="12-1458744189-2166-1646094"/>
        <s v="7-1458744183-2417-209340"/>
        <s v="10-1458744171-8504-6689"/>
        <s v="32-1458744170-2921-434363"/>
        <s v="12-1458744168-9116-3391997"/>
        <s v="10-1458744167-5281-3401"/>
        <s v="31-1458744150-1076-4359964"/>
        <s v="578-1458744147-5553-4527467"/>
        <s v="346-1458744146-9627-4320733"/>
        <s v="99-1458744143-3378-4292599"/>
        <s v="10-1458744142-4825-4484831"/>
        <s v="73-1458744127-6612-2287455"/>
        <s v="12-1458744120-0733-801194"/>
        <s v="420-1458744114-389-608978"/>
        <n v="30101255"/>
        <s v="239-1458744094-278-189916"/>
        <s v="7-1458744086-8715-3042332"/>
        <s v="47-1458744064-2899-3401063"/>
        <s v="10-1458744062-9127-4667226"/>
        <s v="73-1458744062-2815-729725"/>
        <s v="5-1458744058-9228-43319"/>
        <s v="48-1458744052-4902-4651263"/>
        <s v="12-1458744050-653-1744713"/>
        <s v="73-1458744042-9854-175897"/>
        <s v="10-1458744042-178-4374856"/>
        <s v="20-1458744040-4504-3809446"/>
        <s v="424-1458744034-1683-2812196"/>
        <s v="12-1458744032-1886-4487528"/>
        <s v="578-1458744026-065-899003"/>
        <s v="419-1458744020-2988-1087388"/>
        <s v="12-1458744017-7871-3409895"/>
        <s v="10-1458744010-2312-4596719"/>
        <n v="30101221"/>
        <n v="30101218"/>
        <n v="30101216"/>
        <s v="73-1458743974-3624-2287455"/>
        <s v="48-1458743949-1004-4526744"/>
        <s v="10-1458743940-0528-4395100"/>
        <s v="5-1458743934-4032-750824"/>
        <s v="5-1458743927-5734-641564"/>
        <s v="1573-1458743921-9621-4409494"/>
        <s v="99-1458743920-7114-4293268"/>
        <s v="5-1458743918-9721-1380957"/>
        <s v="743-1458743909-6162-3414146"/>
        <s v="12-1458743905-1518-224059"/>
        <s v="12-1458743903-7227-330171"/>
        <s v="10-1458743898-9518-7803"/>
        <s v="73-1458743880-563-3932332"/>
        <s v="32-1458743880-2701-49929"/>
        <s v="10-1458743851-8538-7803"/>
        <s v="424-1458743845-5661-2812196"/>
        <s v="12-1458743843-891-82238"/>
        <s v="10-1458743843-4913-4651663"/>
        <s v="10-1458743836-6341-7803"/>
        <s v="32-1458743813-4741-55981"/>
        <s v="48-1458743811-2372-4651263"/>
        <s v="12-1458743806-4071-3550862"/>
        <s v="1138-1458743799-5857-4652566"/>
        <s v="10-1458743791-6349-3021344"/>
        <s v="48-1458743786-4957-1638633"/>
        <s v="10-1458743779-1478-2774654"/>
        <s v="10-1458743776-6755-715106"/>
        <s v="5-1458743754-0034-981592"/>
        <n v="30101160"/>
        <s v="48-1458743743-9787-4526741"/>
        <s v="346-1458743730-9691-829898"/>
        <s v="99-1458743729-2117-4294237"/>
        <s v="12-1458743725-7973-4667754"/>
        <s v="12-1458743727-7316-3391997"/>
        <s v="10-1458743708-1695-318902"/>
        <s v="1138-1458743698-9595-4666034"/>
        <s v="10-1458743695-2984-4596719"/>
        <s v="10-1458743692-799-3815821"/>
        <n v="30101141"/>
        <s v="73-1458743671-6776-1924722"/>
        <s v="420-1458743659-8186-532892"/>
        <s v="32-1458743656-0304-38925"/>
        <s v="5-1458743651-8989-1380957"/>
        <s v="10-1458743649-8711-4667750"/>
        <s v="5-1458743649-7411-641564"/>
        <s v="59-1458743648-4829-4013866"/>
        <s v="7-1458743641-1006-3042332"/>
        <s v="10-1458743631-7975-4621"/>
        <s v="10-1458743605-8008-4667750"/>
        <s v="419-1458743604-8006-4613181"/>
        <s v="10-1458743604-0025-4455322"/>
        <s v="1161-1458743592-8703-4659122"/>
        <s v="620-1458743590-7991-2393745"/>
        <s v="12-1458743574-885-2920259"/>
        <s v="99-1458743564-8433-4400515"/>
        <s v="419-1458743549-1616-4310440"/>
        <s v="12-1458743542-8716-1568991"/>
        <s v="10-1458743538-9184-4667118"/>
        <n v="30101110"/>
        <s v="419-1458743536-8547-682040"/>
        <s v="10-1458743527-8443-4627663"/>
        <s v="419-1458743519-4628-941546"/>
        <n v="312142179"/>
        <s v="12-1458743498-9125-79419"/>
        <s v="12-1458743495-495-3474926"/>
        <s v="73-1458743489-312-4605038"/>
        <s v="32-1458743478-3183-487350"/>
        <s v="12-1458743475-2798-173665"/>
        <s v="12-1458743469-8729-4005052"/>
        <s v="99-1458743460-0061-4667734"/>
        <s v="99-1458743450-0235-4667122"/>
        <s v="1212-1458743449-5511-4667726"/>
        <s v="10-1458743437-0459-2362242"/>
        <s v="5-1458743421-2696-1380957"/>
        <s v="7-1458743395-7051-3042332"/>
        <s v="12-1458743371-5079-1047499"/>
        <s v="420-1458743368-9982-959239"/>
        <s v="10-1458743368-0909-4610685"/>
        <s v="578-1458743366-4962-697580"/>
        <s v="48-1458743349-7138-4651263"/>
        <s v="99-1458743340-2461-4372708"/>
        <s v="419-1458743335-8462-4310440"/>
        <n v="312141739"/>
        <s v="443-1458743311-9361-4601333"/>
        <s v="10-1458743289-8355-4044544"/>
        <n v="312141679"/>
        <s v="10-1458743272-2777-4663350"/>
        <n v="30101059"/>
        <s v="10-1458743259-3505-4462465"/>
        <s v="419-1458743243-6608-516435"/>
        <n v="312141571"/>
        <s v="10-1458743212-5917-3613694"/>
        <s v="1573-1458743203-7669-4489775"/>
        <s v="10-1458743195-0721-2713593"/>
        <s v="7-1458743188-4526-3042332"/>
        <s v="743-1458743169-7582-4572128"/>
        <s v="47-1458743151-4917-3401063"/>
        <s v="10-1458743138-752-676460"/>
        <s v="12-1458743131-3538-79419"/>
        <s v="73-1458743129-7941-2509218"/>
        <s v="12-1458743125-8915-3848569"/>
        <s v="443-1458743121-612-4601333"/>
        <s v="32-1458743119-6367-444807"/>
        <s v="1161-1458743113-5302-4659122"/>
        <s v="5-1458743090-4551-1380957"/>
        <n v="30101011"/>
        <s v="420-1458743065-895-959239"/>
        <n v="49623361"/>
        <n v="30100992"/>
        <s v="10-1458743055-2161-3834670"/>
        <s v="420-1458743046-5209-495336"/>
        <s v="12-1458743043-7146-195718"/>
        <s v="424-1458743027-7263-3883846"/>
        <n v="30101004"/>
        <s v="10-1458743019-215-4625783"/>
        <s v="578-1458743015-7683-691664"/>
        <s v="10-1458743012-6267-401385"/>
        <s v="10-1458742996-2898-318902"/>
        <n v="312141129"/>
        <n v="49622801"/>
        <s v="10-1458742938-0137-4651843"/>
        <s v="5-1458742906-5796-1380957"/>
        <s v="346-1458742891-8001-1321689"/>
        <s v="10-1458742872-5003-4121881"/>
        <n v="30100970"/>
        <s v="32-1458742852-8199-84375"/>
        <n v="30100971"/>
        <s v="32-1458742846-1995-4211422"/>
        <s v="10-1458742842-5539-4610685"/>
        <s v="10-1458742832-1634-4667118"/>
        <s v="10-1458742831-2773-4628995"/>
        <s v="5-1458742820-7895-750824"/>
        <s v="59-1458742812-4175-3841534"/>
        <s v="215-1458742801-8503-4667698"/>
        <s v="10-1458742793-9433-187706"/>
        <s v="31-1458742784-501-4359964"/>
        <s v="5-1458742776-3899-1380957"/>
        <s v="10-1458742770-1278-3920059"/>
        <s v="743-1458742758-3642-2934683"/>
        <s v="12-1458742756-3237-3699518"/>
        <s v="48-1458742751-4435-4526744"/>
        <s v="309796606_REF"/>
        <n v="309796606"/>
        <s v="10-1458742743-6499-4350859"/>
        <s v="10-1458742726-3595-4667118"/>
        <n v="49621617"/>
        <s v="578-1458742712-083-697580"/>
        <s v="232-1458742709-8322-4667378"/>
        <s v="31-1458742708-721-4359964"/>
        <s v="48-1458742687-2857-4651263"/>
        <n v="30100929"/>
        <s v="283-1458742652-5142-4540442"/>
        <s v="10-1458742648-9367-6272"/>
        <s v="7-1458742637-2164-206608"/>
        <s v="12-1458742633-7246-3880573"/>
        <s v="1161-1458742629-2419-4659122"/>
        <s v="73-1458742626-2246-4605038"/>
        <s v="12-1458742618-9892-3417110"/>
        <s v="419-1458742603-3875-4639303"/>
        <s v="443-1458742586-6692-4601333"/>
        <s v="420-1458742567-0048-959239"/>
        <s v="59-1458742563-5879-624119"/>
        <s v="424-1458742562-2863-498502"/>
        <n v="312140449"/>
        <s v="48-1458742547-3708-4520870"/>
        <s v="419-1458742538-4466-3886864"/>
        <n v="312140421"/>
        <s v="32-1458742534-8248-4563545"/>
        <s v="10-1458742533-749-4452958"/>
        <s v="578-1458742522-4283-697580"/>
        <n v="312140383"/>
        <s v="51-1458742515-8261-888284"/>
        <s v="5-1458742514-0181-1721661"/>
        <s v="346-1458742511-0553-4630703"/>
        <s v="99-1458742506-1023-4539851"/>
        <s v="35-1458742505-9329-80148"/>
        <n v="30100873"/>
        <n v="312140309"/>
        <s v="99-1458742474-2904-4590479"/>
        <s v="12-1458742470-6357-3880573"/>
        <s v="12-1458742461-0293-82238"/>
        <s v="12-1458742445-9512-3683090"/>
        <n v="30100853"/>
        <n v="312140231"/>
        <s v="578-1458742427-3974-693857"/>
        <s v="10-1458742406-6336-4586837"/>
        <n v="312140167"/>
        <s v="5-1458742379-473-882950"/>
        <s v="419-1458742370-5498-509583"/>
        <s v="12-1458742368-8496-4416871"/>
        <n v="312140093"/>
        <s v="578-1458742352-3363-4113703"/>
        <s v="10-1458742335-0443-4371670"/>
        <s v="12-1458742334-564-582346"/>
        <n v="49620227"/>
        <s v="31-1458742334-1128-4667650"/>
        <s v="10-1458742330-5241-4014196"/>
        <s v="73-1458742323-1208-1924722"/>
        <n v="312140019"/>
        <s v="12-1458742320-9322-2901494"/>
        <s v="420-1458742314-9951-734006"/>
        <s v="1477-1458742284-266-4667638"/>
        <s v="99-1458742281-3912-4292167"/>
        <s v="10-1458742258-6767-615089"/>
        <s v="1477-1458742243-9532-4667634"/>
        <s v="51-1458742240-8173-888284"/>
        <s v="443-1458742233-5773-4667626"/>
        <n v="312139865"/>
        <s v="32-1458742223-4678-800363"/>
        <n v="312139853"/>
        <s v="99-1458742217-2176-4333021"/>
        <s v="12-1458742204-2182-504302"/>
        <s v="10-1458742193-1061-3400223"/>
        <n v="30100792"/>
        <n v="312139805"/>
        <s v="47-1458742177-916-2666556"/>
        <s v="10-1458742169-139-33571"/>
        <s v="419-1458742167-2967-682874"/>
        <n v="312139769"/>
        <n v="30100778"/>
        <s v="99-1458742132-4379-4666242"/>
        <s v="10-1458742130-8396-5691"/>
        <s v="99-1458742127-9396-4667614"/>
        <s v="5-1458742129-6382-750824"/>
        <s v="59-1458742123-9543-274466"/>
        <s v="32-1458742107-0626-84375"/>
        <n v="312139675"/>
        <s v="32-1458742101-4328-477276"/>
        <s v="312139657_REF"/>
        <s v="419-1458742097-3578-4639303"/>
        <s v="1477-1458742095-5324-4667610"/>
        <n v="312139657"/>
        <s v="32-1458742093-7936-721994"/>
        <n v="312139643"/>
        <n v="312139631"/>
        <s v="31-1458742063-8616-4359964"/>
        <s v="578-1458742052-5923-813284"/>
        <n v="312139595"/>
        <s v="12-1458742047-2451-3843199"/>
        <s v="32-1458742044-0104-84375"/>
        <s v="283-1458742039-56-4540442"/>
        <s v="59-1458742023-7102-4408771"/>
        <s v="424-1458742019-1332-1075565"/>
        <n v="312139545"/>
        <s v="12-1458742010-5884-4637351"/>
        <s v="419-1458742006-8413-509583"/>
        <n v="312139531"/>
        <n v="312139527"/>
        <n v="312139509"/>
        <n v="30100750"/>
        <n v="312139495"/>
        <s v="346-1458741963-3519-4667586"/>
        <s v="578-1458741960-8917-4664762"/>
        <n v="312139471"/>
        <s v="578-1458741936-7874-691103"/>
        <s v="424-1458741935-073-1075565"/>
        <s v="5-1458741922-5018-1889"/>
        <s v="10-1458741904-2441-4658834"/>
        <s v="48-1458741897-5418-4535072"/>
        <s v="73-1458741889-3425-1924722"/>
        <s v="59-1458741868-2805-1339545"/>
        <s v="47-1458741847-1474-2666556"/>
        <n v="30100710"/>
        <s v="420-1458741834-6454-608337"/>
        <n v="312139319"/>
        <s v="424-1458741827-592-4154080"/>
        <s v="99-1458741824-9079-4380070"/>
        <s v="5-1458741823-8672-1721661"/>
        <s v="10-1458741823-2656-8169"/>
        <s v="12-1458741821-5879-4474268"/>
        <s v="59-1458741816-4655-624119"/>
        <s v="420-1458741809-1184-608337"/>
        <s v="12-1458741790-5582-4364023"/>
        <s v="424-1458741782-8968-1075565"/>
        <s v="12-1458741751-4979-348474"/>
        <s v="10-1458741739-2594-2088366"/>
        <s v="133-1458741734-6222-4665182"/>
        <s v="5-1458741734-1423-220941"/>
        <s v="419-1458741713-4602-736556"/>
        <s v="12-1458741713-0981-4451677"/>
        <s v="419-1458741704-829-498838"/>
        <s v="424-1458741684-0469-706322"/>
        <s v="424-1458741663-5898-1075565"/>
        <s v="10-1458741663-1887-570359"/>
        <s v="73-1458741661-4699-4605038"/>
        <n v="49617311"/>
        <s v="12-1458741645-9792-4474268"/>
        <s v="1477-1458741640-6328-4667554"/>
        <s v="239-1458741639-8903-4250749"/>
        <s v="424-1458741625-2507-638897"/>
        <s v="7-1458741613-1129-93013"/>
        <s v="419-1458741610-251-1044520"/>
        <s v="10-1458741608-7713-4115041"/>
        <n v="30100656"/>
        <s v="346-1458741569-0306-964534"/>
        <s v="10-1458741567-3522-3082355"/>
        <n v="49616923"/>
        <n v="49616727"/>
        <s v="99-1458741499-4132-4296121"/>
        <s v="99-1458741478-6769-4425055"/>
        <s v="1138-1458741461-5254-4637887"/>
        <s v="10-1458741452-2973-2387682"/>
        <s v="12-1458741423-6459-79419"/>
        <s v="239-1458741422-7151-4250749"/>
        <s v="12-1458741411-7862-4474268"/>
        <s v="419-1458741388-1364-4367800"/>
        <n v="30100581"/>
        <s v="5-1458741363-8776-220941"/>
        <s v="5-1458741358-4579-460446"/>
        <s v="48-1458741327-2019-4526057"/>
        <s v="12-1458741313-801-4245034"/>
        <s v="10-1458741314-8983-29935"/>
        <s v="12-1458741305-2804-3880573"/>
        <s v="10-1458741288-2596-4589993"/>
        <s v="99-1458741286-881-4491515"/>
        <s v="34-1458741285-379-551609"/>
        <s v="32-1458741275-376-49107"/>
        <s v="99-1458741274-2608-4371661"/>
        <s v="73-1458741271-5619-1924722"/>
        <s v="424-1458741261-885-1075565"/>
        <s v="32-1458741250-8588-165877"/>
        <s v="346-1458741233-6612-4209136"/>
        <s v="743-1458741200-5211-2150283"/>
        <s v="215-1458741192-37-2114658"/>
        <s v="10-1458741189-3012-21855"/>
        <s v="578-1458741188-6527-764423"/>
        <n v="30100541"/>
        <s v="12-1458741169-7818-3880573"/>
        <s v="10-1458741168-249-4411819"/>
        <s v="578-1458741149-6371-698705"/>
        <s v="419-1458741144-5872-4310440"/>
        <n v="30100528"/>
        <s v="10-1458741110-7662-4415599"/>
        <n v="30100520"/>
        <s v="10-1458741089-3059-4415599"/>
        <s v="424-1458741086-9039-1075565"/>
        <s v="424-1458741067-5171-1282572"/>
        <s v="10-1458741067-0949-4415599"/>
        <s v="10-1458741047-2377-4408897"/>
        <s v="48-1458741036-1077-4529453"/>
        <n v="30100500"/>
        <s v="5-1458741018-2755-220941"/>
        <s v="20-1458741016-6456-1241469"/>
        <n v="30100490"/>
        <s v="10-1458740985-7842-4667226"/>
        <s v="10-1458740966-8867-4667510"/>
        <s v="99-1458740965-1474-4445989"/>
        <s v="12-1458740957-1571-3880573"/>
        <s v="12-1458740952-57-1568991"/>
        <s v="1477-1458740939-3177-4667502"/>
        <s v="12-1458740922-0286-4453402"/>
        <s v="10-1458740921-9486-4563641"/>
        <s v="99-1458740895-1894-4596212"/>
        <s v="12-1458740876-2393-1568991"/>
        <s v="346-1458740869-3124-892853"/>
        <s v="5-1458740869-3124-1889"/>
        <s v="424-1458740853-192-3883846"/>
        <s v="12-1458740846-4388-4474268"/>
        <s v="7-1458740830-5907-93013"/>
        <s v="5-1458740818-5329-981592"/>
        <s v="5-1458740811-002-309668"/>
        <s v="32-1458740810-302-57114"/>
        <s v="59-1458740797-0253-3899470"/>
        <s v="1477-1458740792-8023-4667494"/>
        <s v="346-1458740792-0542-636644"/>
        <s v="32-1458740788-0722-4667490"/>
        <s v="346-1458740777-2348-3034670"/>
        <s v="12-1458740776-6327-4637351"/>
        <s v="1477-1458740770-7233-4667486"/>
        <s v="578-1458740767-3951-4409362"/>
        <s v="1135-1458740742-1035-4626467"/>
        <s v="442-1458740714-5742-4667478"/>
        <n v="49613145"/>
        <s v="1573-1458740700-8222-4667334"/>
        <s v="133-1458740687-4399-4665182"/>
        <s v="10-1458740685-4669-4408897"/>
        <s v="12-1458740679-47-3880573"/>
        <s v="59-1458740677-5342-4667470"/>
        <n v="49613015"/>
        <s v="10-1458740676-0066-3385496"/>
        <s v="12-1458740666-8761-4667466"/>
        <s v="420-1458740660-4752-3891175"/>
        <n v="49612779"/>
        <s v="419-1458740644-6557-503619"/>
        <s v="12-1458740600-9169-4021501"/>
        <s v="34-1458740582-6755-4667458"/>
        <s v="12-1458740581-45-3396473"/>
        <s v="10-1458740581-249-3792358"/>
        <s v="346-1458740569-407-892853"/>
        <s v="10-1458740554-4777-2201917"/>
        <s v="73-1458740553-8893-1924722"/>
        <s v="10-1458740542-2483-4454482"/>
        <s v="10-1458740540-0156-4667226"/>
        <s v="1573-1458740534-2728-4440616"/>
        <s v="12-1458740525-7012-151705"/>
        <s v="1191-1458740525-6987-4667454"/>
        <s v="10-1458740509-8041-4551176"/>
        <s v="99-1458740497-0739-4319641"/>
        <s v="420-1458740494-441-3891175"/>
        <s v="35-1458740486-2713-80148"/>
        <s v="10-1458740480-3342-570359"/>
        <n v="49612189"/>
        <s v="59-1458740475-03-4013866"/>
        <s v="10-1458740461-6399-570359"/>
        <s v="5-1458740457-9156-220941"/>
        <s v="10-1458740443-8534-570359"/>
        <n v="30100333"/>
        <s v="424-1458740428-202-1075565"/>
        <s v="10-1458740423-1865-4339249"/>
        <s v="1138-1458740420-5884-4666490"/>
        <s v="51-1458740404-9642-918635"/>
        <s v="578-1458740391-0858-4544756"/>
        <s v="1477-1458740385-8731-4667430"/>
        <s v="12-1458740361-9602-1933743"/>
        <s v="12-1458740346-3976-4012219"/>
        <s v="1191-1458740318-9741-4667418"/>
        <s v="12-1458740312-7642-4474268"/>
        <s v="12-1458740299-7869-4637351"/>
        <s v="99-1458740292-7866-4667414"/>
        <s v="424-1458740283-5951-1075565"/>
        <s v="99-1458740265-9852-4319641"/>
        <s v="10-1458740244-1904-9734"/>
        <s v="12-1458740240-774-3909664"/>
        <n v="30100294"/>
        <s v="12-1458740226-3731-4021501"/>
        <s v="48-1458740216-9308-259063"/>
        <s v="73-1458740212-6493-1127195"/>
        <s v="12-1458740211-7888-4291696"/>
        <s v="346-1458740208-4487-3034670"/>
        <s v="10-1458740172-3044-4460206"/>
        <s v="73-1458740161-8084-1127195"/>
        <s v="419-1458740145-429-998626"/>
        <s v="1310-1458740140-4868-4667410"/>
        <n v="312137805"/>
        <s v="51-1458740127-0307-888284"/>
        <s v="419-1458740119-5209-3566537"/>
        <s v="424-1458740115-2509-1075565"/>
        <s v="1477-1458740109-1016-4667406"/>
        <s v="1191-1458740099-6687-4667402"/>
        <s v="764-1458740096-3203-1352919"/>
        <s v="10-1458740094-6916-4667398"/>
        <s v="12-1458740087-3449-3396725"/>
        <s v="419-1458740082-9367-1044520"/>
        <s v="1573-1458740076-8015-4667334"/>
        <s v="12-1458740076-8883-522612"/>
        <s v="12-1458740067-4951-4667386"/>
        <s v="34-1458740072-0318-47707"/>
        <s v="10-1458740068-6932-4545398"/>
        <n v="30100259"/>
        <s v="232-1458740066-3915-4667378"/>
        <s v="12-1458740014-8937-160054"/>
        <n v="30100244"/>
        <s v="420-1458739980-6523-704045"/>
        <s v="424-1458739980-7349-1007983"/>
        <s v="1191-1458739960-1653-4667358"/>
        <s v="5-1458739957-0133-220941"/>
        <s v="578-1458739956-9558-4071016"/>
        <s v="424-1458739953-8326-706322"/>
        <s v="10-1458739945-5624-4495"/>
        <s v="34-1458739928-4144-60580"/>
        <s v="10-1458739927-5158-4560272"/>
        <s v="5-1458739920-3743-1889"/>
        <s v="51-1458739914-3746-918635"/>
        <s v="12-1458739909-1969-3417110"/>
        <s v="346-1458739895-3449-1118828"/>
        <n v="49609411"/>
        <s v="10-1458739872-0971-4475828"/>
        <s v="99-1458739868-4158-4328875"/>
        <s v="10-1458739858-3957-4392052"/>
        <s v="1396-1458739857-7991-4547765"/>
        <s v="419-1458739857-7957-779684"/>
        <s v="1477-1458739853-9052-4667346"/>
        <s v="1396-1458739851-6784-4459177"/>
        <s v="10-1458739830-8809-4660174"/>
        <n v="49609373"/>
        <s v="59-1458739819-4752-572171"/>
        <s v="10-1458739818-5463-615011"/>
        <s v="1573-1458739811-029-4667334"/>
        <s v="51-1458739799-5092-888284"/>
        <n v="49609259"/>
        <s v="12-1458739789-5067-294237"/>
        <s v="12-1458739786-9745-3396473"/>
        <s v="12-1458739776-4573-460109"/>
        <s v="309796314_REF"/>
        <s v="10-1458739771-4748-55699"/>
        <n v="309796314"/>
        <s v="419-1458739767-3988-998626"/>
        <s v="10-1458739761-3041-703748"/>
        <s v="12-1458739758-238-1554042"/>
        <s v="10-1458739757-3628-4667226"/>
        <s v="51-1458739753-7587-3997579"/>
        <s v="578-1458739749-4503-691103"/>
        <s v="10-1458739747-4103-4480535"/>
        <s v="1138-1458739740-5309-4632647"/>
        <s v="59-1458739723-0568-206823"/>
        <n v="30100185"/>
        <s v="10-1458739703-8542-4620339"/>
        <s v="48-1458739697-5412-1648278"/>
        <n v="30100182"/>
        <s v="48-1458739684-6392-201740"/>
        <s v="10-1458739680-9802-4157698"/>
        <s v="10-1458739667-9429-4424047"/>
        <s v="5-1458739649-0641-4332781"/>
        <n v="30100168"/>
        <n v="49608569"/>
        <s v="48-1458739634-8004-259063"/>
        <n v="30100159"/>
        <s v="1573-1458739594-8019-4667334"/>
        <s v="12-1458739596-6649-1933743"/>
        <s v="32-1458739577-9049-49107"/>
        <s v="59-1458739563-4339-116155"/>
        <s v="133-1458739549-5137-4284280"/>
        <s v="1516-1458739531-4494-4546943"/>
        <s v="10-1458739526-3361-4332655"/>
        <s v="12-1458739493-7205-4188574"/>
        <n v="49607799"/>
        <s v="1307-1458739484-2878-4667326"/>
        <s v="10-1458739487-7086-4539449"/>
        <s v="73-1458739468-3253-1127195"/>
        <n v="49607783"/>
        <s v="12-1458739452-0685-476982"/>
        <s v="10-1458739446-8949-4539449"/>
        <n v="30100124"/>
        <s v="51-1458739427-377-411307"/>
        <s v="1135-1458739427-0692-4580726"/>
        <s v="48-1458739412-608-4667318"/>
        <n v="312136737"/>
        <n v="30100116"/>
        <s v="99-1458739399-2794-4533173"/>
        <s v="59-1458739397-5632-206823"/>
        <s v="572-1458739391-1883-4573010"/>
        <s v="12-1458739390-2891-87924"/>
        <s v="5-1458739385-7123-4332781"/>
        <s v="1135-1458739385-0557-4308049"/>
        <n v="49607467"/>
        <n v="312136681"/>
        <s v="10-1458739359-0257-4286"/>
        <s v="35-1458739344-2214-80148"/>
        <s v="32-1458739342-9191-37627"/>
        <s v="73-1458739340-092-2903561"/>
        <s v="32-1458739337-0909-505087"/>
        <s v="99-1458739334-991-4667302"/>
        <s v="5-1458739326-3399-1803009"/>
        <s v="215-1458739324-8341-4542617"/>
        <s v="419-1458739320-073-1179371"/>
        <n v="312136603"/>
        <s v="1477-1458739303-2231-4667306"/>
        <s v="5-1458739296-4447-1807"/>
        <s v="424-1458739251-0719-1708575"/>
        <s v="133-1458739244-309-4665182"/>
        <s v="12-1458739229-2413-99651"/>
        <s v="10-1458739223-0095-4121881"/>
        <s v="73-1458739220-0523-3932332"/>
        <s v="12-1458739220-0938-1933743"/>
        <s v="32-1458739216-3617-65649"/>
        <s v="1477-1458739203-248-4667298"/>
        <s v="99-1458739198-396-4619815"/>
        <s v="598-1458739192-0955-3875290"/>
        <s v="419-1458739184-795-905435"/>
        <s v="10-1458739162-4931-4667226"/>
        <n v="30100057"/>
        <s v="424-1458739154-0355-498502"/>
        <s v="578-1458739148-7484-706982"/>
        <s v="1161-1458739140-2385-4231981"/>
        <s v="99-1458739137-7186-4619815"/>
        <s v="10-1458739137-77-4667294"/>
        <s v="10-1458739135-2126-933266"/>
        <s v="578-1458739132-3638-4546628"/>
        <s v="1477-1458739120-5343-4667290"/>
        <n v="49606441"/>
        <s v="1477-1458739111-6785-4667286"/>
        <n v="312136257"/>
        <s v="59-1458739096-6987-522659"/>
        <s v="10-1458739091-2771-326469"/>
        <s v="10-1458739088-1812-4385368"/>
        <s v="12-1458739084-4956-210145"/>
        <s v="1477-1458739082-9486-4667282"/>
        <s v="419-1458739060-2764-998626"/>
        <s v="73-1458739047-8146-651677"/>
        <s v="59-1458739044-6558-206823"/>
        <s v="32-1458739036-1386-196472"/>
        <s v="5-1458739002-519-2552646"/>
        <s v="73-1458738993-7775-3932332"/>
        <n v="30100013"/>
        <s v="133-1458738976-4186-219111"/>
        <n v="30100006"/>
        <s v="99-1458738969-0018-4393921"/>
        <s v="10-1458738954-9224-4405135"/>
        <s v="12-1458738952-1406-1350300"/>
        <s v="12-1458738941-4194-3618605"/>
        <s v="10-1458738938-4372-13125"/>
        <n v="30100001"/>
        <s v="419-1458738934-1812-779684"/>
        <s v="419-1458738928-7709-1179371"/>
        <s v="5-1458738900-2361-4602"/>
        <s v="1573-1458738899-19-4387333"/>
        <s v="59-1458738894-8946-4220206"/>
        <s v="10-1458738891-48-3900865"/>
        <s v="10-1458738878-6196-4486274"/>
        <s v="10-1458738875-5309-1095587"/>
        <s v="73-1458738867-8231-896921"/>
        <s v="10-1458738865-7817-2715252"/>
        <s v="10-1458738865-0632-462864"/>
        <s v="12-1458738856-762-1337910"/>
        <n v="312135813"/>
        <s v="5-1458738843-8837-1889"/>
        <s v="10-1458738829-044-4445653"/>
        <s v="10-1458738809-3329-4480601"/>
        <s v="1310-1458738803-7429-4667262"/>
        <s v="419-1458738807-2402-1179371"/>
        <s v="578-1458738796-648-706823"/>
        <s v="34-1458738796-0858-586360"/>
        <s v="12-1458738793-6028-3499454"/>
        <s v="59-1458738786-3153-206823"/>
        <s v="32-1458738778-6738-4220026"/>
        <s v="10-1458738771-901-4486274"/>
        <s v="10-1458738770-8782-4667226"/>
        <s v="32-1458738769-2581-4199443"/>
        <s v="424-1458738763-242-1708575"/>
        <s v="10-1458738761-5857-1172381"/>
        <s v="12-1458738750-3749-2944961"/>
        <s v="12-1458738749-4766-3387326"/>
        <s v="10-1458738744-3264-361879"/>
        <s v="1477-1458738732-9-4667242"/>
        <s v="419-1458738717-2964-4639303"/>
        <n v="30099932"/>
        <s v="10-1458738714-896-495144"/>
        <s v="419-1458738709-1078-1179371"/>
        <s v="578-1458738707-1257-3770653"/>
        <s v="1477-1458738700-5452-4667238"/>
        <s v="10-1458738698-4356-4486274"/>
        <n v="30099925"/>
        <s v="346-1458738685-1654-1273137"/>
        <s v="10-1458738682-3664-4667226"/>
        <s v="10-1458738659-477-4662582"/>
        <s v="32-1458738646-3267-37627"/>
        <s v="10-1458738640-4936-4511594"/>
        <n v="312135497"/>
        <s v="5-1458738633-5884-622511"/>
        <s v="578-1458738612-8894-694649"/>
        <s v="1477-1458738608-8984-4667234"/>
        <s v="73-1458738608-0559-733652"/>
        <s v="632-1458738607-9462-4613235"/>
        <s v="888-1458738606-3514-4666742"/>
        <s v="12-1458738602-6733-2981429"/>
        <s v="578-1458738576-2709-978436"/>
        <s v="73-1458738562-0299-651677"/>
        <s v="10-1458738549-7521-4667226"/>
        <s v="10-1458738539-16-4423156"/>
        <s v="12-1458738532-1142-1647462"/>
        <s v="5-1458738531-4642-309668"/>
        <s v="424-1458738529-1782-1007983"/>
        <n v="312135311"/>
        <n v="30099885"/>
        <s v="10-1458738509-4527-440247"/>
        <s v="419-1458738503-5283-498230"/>
        <s v="10-1458738503-0328-21043"/>
        <s v="595-1458738480-7001-4667210"/>
        <s v="12-1458738468-0264-210145"/>
        <n v="312135217"/>
        <s v="239-1458738462-1905-387940"/>
        <n v="312135195"/>
        <s v="10-1458738453-4113-3456371"/>
        <n v="49603669"/>
        <s v="796-1458738430-8538-1205762"/>
        <s v="5-1458738420-9276-2552646"/>
        <s v="10-1458738420-6471-3107549"/>
        <s v="12-1458738388-9962-4453402"/>
        <s v="59-1458738383-2309-4220206"/>
        <s v="10-1458738364-6137-329878"/>
        <n v="312135091"/>
        <s v="73-1458738351-1242-896921"/>
        <s v="420-1458738346-3119-495078"/>
        <s v="12-1458738344-8327-92501"/>
        <s v="12-1458738335-4591-3377993"/>
        <s v="346-1458738335-0442-1849683"/>
        <s v="48-1458738324-5176-4547099"/>
        <s v="12-1458738317-9771-4667190"/>
        <s v="12-1458738317-8147-3880573"/>
        <n v="312135027"/>
        <s v="10-1458738283-8362-657794"/>
        <s v="1573-1458738255-4292-4392337"/>
        <s v="5-1458738242-979-623549"/>
        <s v="10-1458738233-0383-2600301"/>
        <s v="1477-1458738207-9754-4667178"/>
        <s v="10-1458738203-9634-19713"/>
        <s v="5-1458738195-7986-18443"/>
        <s v="346-1458738179-1563-4268740"/>
        <s v="420-1458738170-741-4396471"/>
        <s v="20-1458738165-8644-2243947"/>
        <n v="312134905"/>
        <s v="419-1458738159-5339-4543757"/>
        <s v="34-1458738155-107-313774"/>
        <s v="5-1458738152-4096-622511"/>
        <s v="764-1458738143-6315-4179346"/>
        <s v="12-1458738139-0365-4667170"/>
        <s v="12-1458738126-2596-4444294"/>
        <s v="10-1458738106-3051-4632691"/>
        <s v="32-1458738097-6431-65649"/>
        <s v="12-1458738095-3218-242566"/>
        <s v="420-1458738094-1864-1380933"/>
        <s v="424-1458738087-8006-2925371"/>
        <s v="73-1458738084-3391-3083255"/>
        <n v="312134823"/>
        <s v="12-1458738072-0833-3699518"/>
        <s v="12-1458738070-0483-4621003"/>
        <s v="32-1458738070-0982-47603"/>
        <s v="1477-1458738057-2118-4667162"/>
        <s v="73-1458738031-0543-896921"/>
        <s v="424-1458738028-2527-1007983"/>
        <s v="346-1458738028-0951-1849683"/>
        <s v="59-1458738025-4165-2559987"/>
        <s v="73-1458738022-4325-2179405"/>
        <s v="20-1458738018-0178-3960760"/>
        <s v="59-1458738017-2507-177198"/>
        <s v="420-1458738001-6659-1215572"/>
        <s v="12-1458737982-0259-3880573"/>
        <n v="30099749"/>
        <s v="5-1458737978-5041-1889"/>
        <s v="346-1458737967-8642-3105920"/>
        <s v="12-1458737964-1946-4453402"/>
        <s v="620-1458737956-8363-3173294"/>
        <s v="12-1458737955-7754-3499454"/>
        <s v="10-1458737953-5746-4644771"/>
        <n v="49601707"/>
        <s v="578-1458737937-6049-978436"/>
        <s v="1477-1458737934-0442-4667150"/>
        <s v="99-1458737932-4353-4307605"/>
        <s v="12-1458737923-3405-3377993"/>
        <s v="12-1458737909-3035-4448704"/>
        <s v="10-1458737907-2782-4644771"/>
        <s v="73-1458737901-1861-2493675"/>
        <s v="10-1458737897-7079-5758"/>
        <s v="419-1458737892-5052-4461058"/>
        <s v="59-1458737891-8765-601490"/>
        <s v="420-1458737874-6284-495078"/>
        <s v="420-1458737867-2873-3528821"/>
        <s v="5-1458737864-0294-220941"/>
        <s v="5-1458737856-9956-576519"/>
        <s v="10-1458737850-539-10605"/>
        <s v="442-1458737847-048-4667142"/>
        <s v="5-1458737839-6494-2552646"/>
        <s v="51-1458737812-9185-850427"/>
        <s v="346-1458737809-3909-1118828"/>
        <s v="346-1458737798-9285-792584"/>
        <s v="48-1458737801-4589-541846"/>
        <s v="10-1458737799-3311-4644771"/>
        <s v="12-1458737795-2912-3512180"/>
        <s v="346-1458737795-0084-4268740"/>
        <s v="10-1458737790-5672-4616103"/>
        <s v="419-1458737789-3111-535176"/>
        <s v="10-1458737769-939-4130326"/>
        <s v="12-1458737767-611-3386771"/>
        <s v="420-1458737743-319-1763949"/>
        <s v="578-1458737736-6789-699485"/>
        <s v="1477-1458737732-2997-4667130"/>
        <s v="10-1458737709-2906-4662494"/>
        <s v="35-1458737659-1445-80148"/>
        <s v="73-1458737654-1687-2493675"/>
        <s v="12-1458737652-5494-75794"/>
        <s v="12-1458737644-772-3427097"/>
        <s v="59-1458737639-7529-124926"/>
        <s v="424-1458737640-0506-1708575"/>
        <s v="99-1458737625-2726-4337866"/>
        <s v="99-1458737615-6538-4667122"/>
        <s v="10-1458737610-496-4589993"/>
        <s v="51-1458737606-9453-413356"/>
        <n v="49600491"/>
        <n v="30099645"/>
        <s v="10-1458737581-7159-4386304"/>
        <s v="12-1458737577-0886-2981429"/>
        <s v="424-1458737575-114-638897"/>
        <n v="30099644"/>
        <s v="1304-1458737559-3552-4667110"/>
        <s v="346-1458737557-6475-635468"/>
        <s v="32-1458737548-7567-50392"/>
        <s v="578-1458737527-1159-691166"/>
        <s v="5-1458737526-4983-576519"/>
        <s v="20-1458737510-618-3960760"/>
        <s v="10-1458737509-7558-2708823"/>
        <s v="133-1458737463-5217-2697870"/>
        <s v="578-1458737455-6595-3146219"/>
        <n v="30099608"/>
        <n v="30099604"/>
        <s v="424-1458737431-47-1708575"/>
        <s v="10-1458737431-4303-4450468"/>
        <s v="10-1458737428-1375-4551176"/>
        <s v="10-1458737403-5586-2708823"/>
        <s v="99-1458737393-6808-4346314"/>
        <s v="346-1458737390-3887-1069546"/>
        <s v="48-1458737388-7777-4667090"/>
        <s v="12-1458737388-2408-3387326"/>
        <s v="346-1458737382-4149-1273137"/>
        <s v="1477-1458737382-3357-4667086"/>
        <s v="424-1458737372-0212-638897"/>
        <s v="10-1458737369-5896-4468063"/>
        <s v="12-1458737368-6914-74739"/>
        <s v="419-1458737363-6219-3801097"/>
        <s v="578-1458737354-971-698999"/>
        <s v="5-1458737324-9974-220941"/>
        <s v="578-1458737309-6356-2590263"/>
        <n v="30099563"/>
        <s v="5-1458737285-0084-1195631"/>
        <s v="578-1458737272-914-699356"/>
        <s v="59-1458737262-4609-177198"/>
        <s v="32-1458737258-5424-4667070"/>
        <s v="12-1458737225-9851-242566"/>
        <s v="12-1458737225-7857-3989542"/>
        <s v="12-1458737219-8658-2412414"/>
        <s v="419-1458737210-6853-620414"/>
        <s v="12-1458737209-5181-3470378"/>
        <s v="10-1458737207-3638-4059484"/>
        <s v="424-1458737192-5464-1708575"/>
        <s v="10-1458737192-4558-4551176"/>
        <s v="10-1458737163-9792-8099"/>
        <s v="12-1458737152-8796-4312207"/>
        <s v="5-1458737152-8526-620048"/>
        <s v="31-1458737147-0069-4667058"/>
        <s v="12-1458737141-2652-75794"/>
        <s v="59-1458737139-8822-4091593"/>
        <s v="59-1458737138-8327-82131"/>
        <n v="30099520"/>
        <s v="12-1458737104-244-3967534"/>
        <s v="1138-1458737082-5935-4666838"/>
        <s v="239-1458737076-1799-1523517"/>
        <s v="133-1458737072-1097-2697870"/>
        <s v="443-1458737067-759-4667038"/>
        <s v="10-1458737063-5572-4643743"/>
        <s v="7-1458737049-7304-206608"/>
        <s v="59-1458737042-4141-177198"/>
        <s v="424-1458737027-0502-1708575"/>
        <s v="12-1458737019-9689-74739"/>
        <s v="5-1458737018-689-622511"/>
        <s v="420-1458737015-5291-1763949"/>
        <s v="12-1458737008-7161-4590863"/>
        <s v="12-1458736993-6317-460109"/>
        <s v="10-1458736969-4242-703748"/>
        <s v="12-1458736959-0325-77590"/>
        <s v="20-1458736957-7596-3596678"/>
        <s v="12-1458736933-8524-3880573"/>
        <s v="99-1458736913-5541-4348990"/>
        <s v="10-1458736908-8938-5142"/>
        <s v="10-1458736906-9329-33571"/>
        <s v="1477-1458736875-6621-4667006"/>
        <s v="5-1458736862-8529-220941"/>
        <s v="32-1458736862-382-37627"/>
        <s v="424-1458736856-2324-1708575"/>
        <n v="30099465"/>
        <s v="10-1458736821-3158-3999277"/>
        <s v="73-1458736820-7552-1331502"/>
        <s v="12-1458736778-4738-3967534"/>
        <s v="12-1458736775-6371-4069576"/>
        <n v="30099447"/>
        <s v="12-1458736727-9692-74739"/>
        <s v="10-1458736721-0781-3967174"/>
        <s v="1191-1458736703-9071-4666994"/>
        <s v="32-1458736700-5591-625559"/>
        <s v="5-1458736697-3384-620702"/>
        <s v="73-1458736688-6065-116312"/>
        <s v="59-1458736679-2393-177198"/>
        <s v="12-1458736668-4999-3396473"/>
        <s v="10-1458736667-0469-570550"/>
        <s v="1477-1458736666-5281-4666986"/>
        <s v="12-1458736653-5168-3880573"/>
        <s v="10-1458736636-688-27947"/>
        <s v="2-1458736622-4604-4664110"/>
        <s v="10-1458736613-0039-27947"/>
        <s v="32-1458736612-5663-90028"/>
        <s v="346-1458736603-3214-4250179"/>
        <s v="21-1458736582-7013-3759340"/>
        <n v="49596725"/>
        <n v="30099410"/>
        <s v="12-1458736574-1118-1387428"/>
        <s v="5-1458736572-1787-654713"/>
        <s v="12-1458736568-4613-3489800"/>
        <s v="32-1458736565-5095-3892468"/>
        <n v="30099406"/>
        <s v="419-1458736550-0473-941546"/>
        <s v="888-1458736522-224-4660014"/>
        <s v="1573-1458736495-4719-4387333"/>
        <s v="32-1458736477-8824-42127"/>
        <s v="12-1458736472-7628-196143"/>
        <s v="12-1458736464-1702-3967534"/>
        <s v="32-1458736461-8812-46317"/>
        <n v="49596247"/>
        <s v="10-1458736431-9852-3791527"/>
        <s v="59-1458736412-8412-4268587"/>
        <s v="443-1458736398-0163-4666978"/>
        <s v="59-1458736397-0205-4424845"/>
        <s v="10-1458736383-1752-4581173"/>
        <n v="30099350"/>
        <s v="424-1458736364-6478-638897"/>
        <s v="12-1458736363-3832-3880573"/>
        <s v="598-1458736360-9629-1355925"/>
        <s v="1396-1458736354-1058-4458748"/>
        <s v="12-1458736350-9645-3522245"/>
        <s v="239-1458736344-5662-548108"/>
        <s v="47-1458736337-8554-4596782"/>
        <s v="1396-1458736327-9932-4553201"/>
        <s v="888-1458736320-2267-4660014"/>
        <n v="30099336"/>
        <s v="290-1458736309-9163-4618363"/>
        <s v="1396-1458736288-1149-4458457"/>
        <s v="10-1458736271-2045-4633203"/>
        <s v="10-1458736270-722-1276374"/>
        <s v="10-1458736262-4405-4639999"/>
        <s v="1161-1458736250-3212-4643615"/>
        <s v="1396-1458736249-2553-4458355"/>
        <s v="1396-1458736239-1727-4458349"/>
        <s v="419-1458736228-849-941546"/>
        <s v="12-1458736220-8815-3967534"/>
        <s v="743-1458736211-6823-4433854"/>
        <s v="10-1458736193-6904-100882"/>
        <s v="59-1458736192-3701-4603730"/>
        <n v="30099301"/>
        <s v="5-1458736143-5112-8222"/>
        <s v="1477-1458736118-7224-4666962"/>
        <s v="10-1458736118-3602-4666958"/>
        <s v="99-1458736094-4931-4293394"/>
        <s v="10-1458736085-0951-233419"/>
        <s v="10-1458736083-6945-3544880"/>
        <s v="888-1458736078-601-4666742"/>
        <s v="10-1458736065-7911-139501"/>
        <n v="312132807"/>
        <s v="73-1458736057-1658-116312"/>
        <s v="59-1458736056-3423-2118546"/>
        <s v="443-1458736039-6862-4599950"/>
        <s v="10-1458736023-7635-3848098"/>
        <s v="424-1458736017-3959-1708575"/>
        <s v="32-1458736001-1634-65649"/>
        <n v="312132695"/>
        <n v="312132697"/>
        <s v="10-1458735973-5152-2944907"/>
        <s v="10-1458735959-7286-3875197"/>
        <s v="12-1458735957-0561-4453402"/>
        <s v="73-1458735938-695-116312"/>
        <s v="1477-1458735933-2963-4666946"/>
        <s v="5-1458735920-8988-223999"/>
        <s v="443-1458735911-5365-4620663"/>
        <s v="73-1458735907-1162-3083255"/>
        <s v="10-1458735903-4824-2249095"/>
        <s v="12-1458735901-4124-73388"/>
        <s v="578-1458735879-2987-742379"/>
        <s v="1307-1458735862-8348-4666934"/>
        <s v="12-1458735861-6602-3389240"/>
        <s v="1191-1458735860-8886-4666930"/>
        <s v="424-1458735860-685-3883846"/>
        <s v="683-1458735854-5294-3614717"/>
        <s v="59-1458735849-0951-2125023"/>
        <s v="59-1458735847-2831-177198"/>
        <s v="1516-1458735826-3017-4546943"/>
        <s v="10-1458735821-3818-4541396"/>
        <s v="420-1458735805-606-1028062"/>
        <s v="420-1458735804-7243-3893992"/>
        <s v="48-1458735803-4131-4666922"/>
        <s v="419-1458735797-1198-4375444"/>
        <s v="47-1458735791-783-4666918"/>
        <s v="73-1458735791-0598-2179405"/>
        <s v="419-1458735762-3426-1193804"/>
        <s v="10-1458735748-3834-1276374"/>
        <s v="12-1458735730-4993-3379550"/>
        <s v="10-1458735725-6985-4105"/>
        <s v="888-1458735714-6617-4666742"/>
        <s v="12-1458735712-5113-77590"/>
        <s v="578-1458735711-3032-698705"/>
        <s v="59-1458735697-2215-2125023"/>
        <s v="59-1458735696-7634-177198"/>
        <s v="12-1458735686-8575-3880573"/>
        <s v="59-1458735672-4954-2118546"/>
        <s v="1138-1458735670-7952-4666838"/>
        <s v="10-1458735654-0658-326469"/>
        <s v="5-1458735638-0533-1362657"/>
        <s v="10-1458735631-2065-4666894"/>
        <s v="10-1458735628-9367-4210591"/>
        <s v="133-1458735627-6035-4471609"/>
        <s v="1477-1458735625-2349-4666890"/>
        <n v="312132265"/>
        <s v="578-1458735616-6262-4293538"/>
        <n v="312132261"/>
        <n v="30099176"/>
        <s v="424-1458735588-4246-1708575"/>
        <n v="30099170"/>
        <s v="420-1458735572-9659-3893992"/>
        <s v="10-1458735565-8777-68192"/>
        <s v="1191-1458735551-8579-4666878"/>
        <s v="12-1458735543-0467-1321791"/>
        <s v="232-1458735529-8021-4488794"/>
        <s v="620-1458735526-909-1435278"/>
        <s v="1477-1458735522-7996-4666874"/>
        <s v="48-1458735514-7872-4534082"/>
        <s v="12-1458735511-7045-4666870"/>
        <s v="10-1458735492-9474-4651291"/>
        <n v="30099145"/>
        <s v="10-1458735463-108-4008565"/>
        <s v="48-1458735457-439-1644969"/>
        <s v="5-1458735440-9889-20017"/>
        <s v="5-1458735435-5488-1721661"/>
        <s v="73-1458735431-9835-116312"/>
        <n v="312132025"/>
        <s v="34-1458735421-4895-60580"/>
        <s v="743-1458735415-1012-4499843"/>
        <s v="59-1458735408-5964-2118546"/>
        <s v="346-1458735374-8799-4443931"/>
        <s v="1197-1458735355-0914-3887215"/>
        <n v="312131909"/>
        <s v="743-1458735349-6404-4572461"/>
        <s v="2-1458735335-1918-4664110"/>
        <n v="30099117"/>
        <s v="59-1458735318-1571-4277233"/>
        <s v="51-1458735317-3309-1548099"/>
        <s v="346-1458735312-4152-1273137"/>
        <s v="12-1458735311-8119-3427097"/>
        <s v="1477-1458735310-0655-4666854"/>
        <s v="32-1458735309-34-42127"/>
        <s v="10-1458735306-2947-1316247"/>
        <s v="10-1458735305-6126-4666850"/>
        <s v="424-1458735293-312-1412838"/>
        <s v="1135-1458735292-7241-4626467"/>
        <n v="30099098"/>
        <s v="5-1458735264-2143-220941"/>
        <s v="10-1458735261-9961-4386304"/>
        <n v="30099089"/>
        <n v="49591849"/>
        <s v="420-1458735235-9571-1763949"/>
        <s v="5-1458735220-4743-622511"/>
        <n v="312131689"/>
        <s v="12-1458735194-6851-73388"/>
        <s v="10-1458735178-4144-971917"/>
        <s v="12-1458735175-9562-3880573"/>
        <s v="10-1458735174-721-4596485"/>
        <n v="312131645"/>
        <s v="10-1458735164-6359-3842185"/>
        <s v="73-1458735164-2773-1026088"/>
        <s v="5-1458735159-3164-1362657"/>
        <s v="424-1458735158-5366-1011742"/>
        <s v="10-1458735147-8663-4641415"/>
        <s v="73-1458735142-7899-870971"/>
        <s v="5-1458735136-0196-414676"/>
        <s v="48-1458735135-6988-4531979"/>
        <s v="59-1458735131-7672-177198"/>
        <s v="48-1458735130-4775-4526741"/>
        <s v="743-1458735125-7273-4499843"/>
        <s v="10-1458735124-7799-4633203"/>
        <s v="73-1458735118-2777-1127195"/>
        <n v="30099064"/>
        <s v="578-1458735098-0083-694649"/>
        <s v="5-1458735093-8401-1721661"/>
        <s v="10-1458735093-9402-61497"/>
        <s v="12-1458735088-9884-2946494"/>
        <s v="12-1458735063-7662-3218972"/>
        <s v="10-1458735050-441-75686"/>
        <s v="10-1458735043-3419-4618471"/>
        <s v="1138-1458735033-2292-4666838"/>
        <s v="59-1458735028-2141-2559987"/>
        <s v="10-1458735024-9774-4349884"/>
        <s v="419-1458735021-705-518412"/>
        <s v="578-1458735015-7024-746963"/>
        <s v="47-1458735009-1627-4570697"/>
        <s v="10-1458734982-9017-4618471"/>
        <s v="59-1458734976-2001-522659"/>
        <n v="312131379"/>
        <n v="30099030"/>
        <s v="10-1458734941-2166-4666834"/>
        <s v="1477-1458734931-0834-4666830"/>
        <s v="10-1458734919-8822-2945096"/>
        <s v="12-1458734905-5872-3931903"/>
        <s v="12-1458734901-668-73388"/>
        <s v="12-1458734899-1725-3880573"/>
        <s v="419-1458734889-6449-2580741"/>
        <s v="346-1458734887-1456-4462600"/>
        <s v="47-1458734885-3241-4558148"/>
        <s v="5-1458734880-6402-220941"/>
        <s v="34-1458734874-3134-730958"/>
        <s v="239-1458734868-2369-548108"/>
        <s v="10-1458734863-4263-23417"/>
        <s v="1191-1458734854-098-4666818"/>
        <s v="32-1458734845-054-4220026"/>
        <s v="10-1458734824-327-879833"/>
        <s v="10-1458734818-8171-3885406"/>
        <s v="5-1458734809-7971-633038"/>
        <s v="578-1458734788-7861-746963"/>
        <s v="1212-1458734779-3739-4666806"/>
        <s v="1477-1458734775-717-4666802"/>
        <s v="12-1458734772-5764-2473467"/>
        <s v="73-1458734761-4885-4346353"/>
        <n v="30098990"/>
        <s v="12-1458734760-2418-2946494"/>
        <s v="10-1458734759-0666-618290"/>
        <s v="12-1458734753-247-3218972"/>
        <s v="420-1458734752-2859-1763949"/>
        <s v="1197-1458734751-5093-3887215"/>
        <s v="10-1458734748-7276-4276699"/>
        <s v="1573-1458734745-7169-4387333"/>
        <s v="578-1458734742-2387-703706"/>
        <s v="1477-1458734734-9971-4666790"/>
        <s v="424-1458734723-4623-4516712"/>
        <s v="99-1458734710-158-4666782"/>
        <n v="30098974"/>
        <s v="12-1458734693-7984-3880573"/>
        <s v="59-1458734690-5925-2125023"/>
        <s v="419-1458734671-1235-518412"/>
        <s v="419-1458734650-9393-4613181"/>
        <s v="1197-1458734645-512-3887215"/>
        <s v="32-1458734637-5649-497728"/>
        <s v="1477-1458734626-3682-4666774"/>
        <s v="99-1458734622-8704-4318804"/>
        <s v="1477-1458734616-9655-4666770"/>
        <s v="1212-1458734610-7006-4666766"/>
        <s v="346-1458734607-4425-3913615"/>
        <s v="10-1458734597-701-4567790"/>
        <n v="30098942"/>
        <s v="1191-1458734589-3263-4666758"/>
        <s v="32-1458734575-0542-166855"/>
        <s v="5-1458734566-3915-622511"/>
        <s v="424-1458734554-2918-1412838"/>
        <s v="10-1458734541-1743-4601135"/>
        <s v="1307-1458734506-6134-4666746"/>
        <s v="419-1458734504-1812-1828323"/>
        <s v="99-1458734492-4334-4460020"/>
        <s v="59-1458734485-6251-2125023"/>
        <s v="10-1458734484-9118-9521"/>
        <s v="12-1458734484-7313-4503035"/>
        <s v="888-1458734453-6696-4666742"/>
        <s v="34-1458734449-8062-60580"/>
        <s v="419-1458734449-1484-1065079"/>
        <s v="12-1458734440-7042-3724130"/>
        <s v="1191-1458734433-846-4666738"/>
        <s v="12-1458734430-8152-801194"/>
        <s v="424-1458734402-1377-498502"/>
        <s v="12-1458734388-7342-4589981"/>
        <s v="1161-1458734376-6984-4412899"/>
        <s v="12-1458734354-7567-3880573"/>
        <s v="12-1458734331-07-197761"/>
        <s v="5-1458734321-1695-1146122"/>
        <n v="30098893"/>
        <s v="346-1458734308-1379-1273137"/>
        <n v="30098891"/>
        <s v="59-1458734299-7689-2125023"/>
        <s v="12-1458734295-9383-73388"/>
        <s v="10-1458734289-499-4620603"/>
        <s v="572-1458734259-7439-4224289"/>
        <s v="424-1458734252-5991-1127105"/>
        <n v="30098879"/>
        <s v="12-1458734241-4074-801194"/>
        <n v="30098872"/>
        <s v="47-1458734237-9425-4553375"/>
        <s v="10-1458734232-4346-273353"/>
        <s v="578-1458734205-2227-1568595"/>
        <s v="5-1458734192-7836-220941"/>
        <s v="48-1458734164-0482-532281"/>
        <s v="10-1458734159-0497-1276374"/>
        <s v="10-1458734155-6338-50775"/>
        <s v="1477-1458734154-5639-4666710"/>
        <s v="10-1458734146-5648-2193982"/>
        <n v="30098846"/>
        <n v="30098847"/>
        <s v="12-1458734132-7229-1647462"/>
        <s v="99-1458734084-2462-4631151"/>
        <s v="10-1458734067-0839-4664930"/>
        <n v="30098821"/>
        <s v="12-1458734049-9452-801194"/>
        <s v="73-1458734043-0428-116312"/>
        <s v="1477-1458734024-4496-4666698"/>
        <s v="1191-1458734013-6959-4666694"/>
        <s v="5-1458734008-6003-8222"/>
        <s v="12-1458734004-3363-3724130"/>
        <s v="5-1458733997-7467-127460"/>
        <s v="424-1458733976-7489-4516712"/>
        <s v="10-1458733971-0963-4601180"/>
        <s v="346-1458733963-4875-662216"/>
        <s v="12-1458733955-367-79142"/>
        <s v="12-1458733921-6298-3447137"/>
        <s v="10-1458733919-8707-51829"/>
        <s v="59-1458733917-6984-3663083"/>
        <s v="73-1458733914-2907-4465870"/>
        <s v="595-1458733913-6198-4666690"/>
        <s v="420-1458733900-3512-649364"/>
        <s v="12-1458733898-0288-914408"/>
        <n v="49586995"/>
        <s v="12-1458733892-66-73388"/>
        <s v="12-1458733878-1844-4589981"/>
        <s v="10-1458733867-0541-4620603"/>
        <s v="20-1458733849-6817-2618646"/>
        <s v="12-1458733836-0949-2946494"/>
        <s v="10-1458733829-888-4204492"/>
        <s v="424-1458733829-15-1708575"/>
        <s v="420-1458733805-8035-3897148"/>
        <s v="59-1458733802-5637-57953"/>
        <s v="12-1458733797-0408-3427097"/>
        <s v="73-1458733791-2211-3083255"/>
        <s v="59-1458733784-078-4091593"/>
        <s v="10-1458733780-8616-4011652"/>
        <s v="743-1458733776-7431-4474565"/>
        <n v="30098746"/>
        <s v="578-1458733760-9146-692561"/>
        <s v="7-1458733730-2942-1714044"/>
        <s v="99-1458733694-0537-4406632"/>
        <s v="10-1458733676-8962-16637"/>
        <s v="419-1458733644-2371-1374777"/>
        <n v="30098711"/>
        <s v="420-1458733599-4568-2636112"/>
        <s v="2-1458733576-9165-4664110"/>
        <s v="73-1458733574-6073-1311660"/>
        <s v="578-1458733561-3775-699356"/>
        <s v="48-1458733555-5054-4540400"/>
        <s v="424-1458733547-3397-4516712"/>
        <s v="419-1458733538-2579-620414"/>
        <n v="30098689"/>
        <s v="443-1458733494-0797-4631199"/>
        <s v="346-1458733493-621-3037736"/>
        <n v="30098678"/>
        <s v="99-1458733486-0189-4666662"/>
        <s v="1138-1458733484-4487-4637887"/>
        <n v="1795"/>
        <s v="1477-1458733464-0013-4666658"/>
        <s v="133-1458733463-3796-4471609"/>
        <s v="346-1458733415-4256-3801508"/>
        <s v="1191-1458733414-7816-4666646"/>
        <s v="48-1458733405-6238-4520273"/>
        <s v="5-1458733377-3047-622511"/>
        <s v="12-1458733375-7623-72913"/>
        <s v="419-1458733359-9032-3771607"/>
        <n v="30098647"/>
        <s v="12-1458733340-7578-402554"/>
        <s v="578-1458733333-6253-694649"/>
        <s v="10-1458733326-8658-4644083"/>
        <s v="51-1458733325-7638-851270"/>
        <n v="49584887"/>
        <s v="32-1458733276-8848-54865"/>
        <s v="215-1458733267-5715-4583072"/>
        <s v="215-1458733261-2149-4583072"/>
        <s v="12-1458733253-7281-196143"/>
        <s v="12-1458733237-5482-949865"/>
        <s v="10-1458733202-2813-4277707"/>
        <s v="10-1458733188-6238-4666578"/>
        <s v="99-1458733176-2798-4319323"/>
        <s v="51-1458733174-367-1548099"/>
        <s v="424-1458733164-6921-3934117"/>
        <s v="10-1458733133-7782-519928"/>
        <s v="99-1458733107-7211-4293394"/>
        <s v="133-1458733091-9596-4664598"/>
        <s v="99-1458733091-4672-4431403"/>
        <s v="73-1458733087-3347-1311660"/>
        <s v="10-1458733086-3518-4644083"/>
        <n v="30098588"/>
        <s v="1135-1458733081-2616-3878614"/>
        <s v="424-1458733071-5043-4502720"/>
        <n v="30098584"/>
        <n v="30098581"/>
        <s v="12-1458733055-4602-4421383"/>
        <s v="10-1458733055-2203-3991123"/>
        <s v="578-1458733050-3801-4226413"/>
        <s v="32-1458733050-1202-113964"/>
        <n v="30098571"/>
        <s v="99-1458733023-0458-4431403"/>
        <s v="443-1458733020-9261-4631199"/>
        <s v="5-1458733019-5403-2219"/>
        <s v="10-1458733014-2526-33571"/>
        <s v="578-1458733012-7411-4336564"/>
        <s v="10-1458733012-5903-273353"/>
        <s v="743-1458733007-7464-3421565"/>
        <s v="32-1458733003-5938-48460"/>
        <s v="572-1458732966-4404-758282"/>
        <s v="5-1458732955-3517-4540502"/>
        <s v="10-1458732950-395-4407040"/>
        <s v="12-1458732942-8152-2473467"/>
        <s v="32-1458732937-3538-52575"/>
        <s v="600-1458732929-7735-4562807"/>
        <s v="419-1458732928-0739-505083"/>
        <s v="10-1458732921-5719-2642943"/>
        <n v="30098553"/>
        <s v="12-1458732912-8388-3968290"/>
        <s v="10-1458732856-2272-4610685"/>
        <s v="12-1458732845-5759-261152"/>
        <s v="12-1458732842-9958-491228"/>
        <s v="578-1458732820-816-4275244"/>
        <s v="1310-1458732811-5743-4666630"/>
        <s v="10-1458732809-0164-973606"/>
        <n v="49583317"/>
        <s v="10-1458732803-5389-4256107"/>
        <s v="578-1458732793-0717-698897"/>
        <s v="51-1458732792-6368-1281816"/>
        <s v="12-1458732779-2782-4606771"/>
        <s v="10-1458732761-1769-3838999"/>
        <s v="32-1458732760-9792-3978457"/>
        <s v="2-1458732758-1025-4664110"/>
        <s v="10-1458732756-7179-4495"/>
        <s v="1307-1458732743-2392-4666626"/>
        <s v="10-1458732731-7783-14063"/>
        <s v="7-1458732726-3984-1714044"/>
        <s v="10-1458732723-9819-1276374"/>
        <s v="12-1458732723-721-1272819"/>
        <s v="48-1458732718-8108-4522538"/>
        <s v="59-1458732716-4532-4665662"/>
        <s v="12-1458732714-8906-93389"/>
        <s v="32-1458732712-2815-54865"/>
        <s v="10-1458732704-2946-4562489"/>
        <s v="47-1458732698-0093-4522991"/>
        <s v="1396-1458732688-7936-4503857"/>
        <s v="10-1458732688-3809-658901"/>
        <s v="99-1458732686-6787-4633191"/>
        <s v="1396-1458732665-5595-4625927"/>
        <s v="419-1458732654-2154-4571816"/>
        <s v="578-1458732645-4602-698897"/>
        <n v="30098497"/>
        <s v="377-1458732636-1392-4607048"/>
        <s v="10-1458732628-167-3834670"/>
        <s v="32-1458732614-6832-510477"/>
        <n v="30098487"/>
        <s v="7-1458732598-5213-619835"/>
        <s v="10-1458732590-8046-4666622"/>
        <s v="32-1458732584-3524-57114"/>
        <s v="12-1458732581-573-1001506"/>
        <s v="578-1458732578-5254-4336564"/>
        <s v="1573-1458732566-4648-4387333"/>
        <n v="30098480"/>
        <s v="34-1458732556-1258-208360"/>
        <s v="12-1458732553-7821-3968290"/>
        <s v="48-1458732532-7166-4531943"/>
        <s v="10-1458732523-9461-4663022"/>
        <s v="99-1458732513-5564-4633191"/>
        <s v="10-1458732502-2222-4610685"/>
        <s v="5-1458732482-1275-8222"/>
        <s v="743-1458732475-0353-4318210"/>
        <s v="59-1458732463-4938-522659"/>
        <s v="215-1458732439-4158-4571819"/>
        <s v="10-1458732433-1637-78635"/>
        <s v="34-1458732420-6471-4581719"/>
        <s v="215-1458732410-5348-4548287"/>
        <n v="30098441"/>
        <s v="215-1458732404-8517-4548287"/>
        <s v="620-1458732402-8699-1173140"/>
        <s v="12-1458732402-0878-74850"/>
        <s v="215-1458732399-774-4548287"/>
        <s v="99-1458732398-7502-4666574"/>
        <s v="215-1458732394-374-4548287"/>
        <s v="215-1458732389-6216-4548287"/>
        <s v="215-1458732384-4669-4548287"/>
        <s v="578-1458732381-3604-692855"/>
        <n v="49581861"/>
        <s v="12-1458732375-3247-1871097"/>
        <s v="10-1458732350-2711-1276374"/>
        <s v="73-1458732347-8787-1331502"/>
        <s v="12-1458732336-1329-340587"/>
        <s v="215-1458732334-4365-4542287"/>
        <s v="215-1458732329-1659-4542287"/>
        <s v="420-1458732325-6058-1749984"/>
        <s v="215-1458732323-8486-4542287"/>
        <s v="215-1458732315-5706-4542287"/>
        <s v="215-1458732310-3378-4542287"/>
        <s v="10-1458732304-9797-4583120"/>
        <s v="215-1458732303-5614-4542287"/>
        <s v="10-1458732295-6499-2715603"/>
        <s v="578-1458732292-0527-825086"/>
        <s v="12-1458732280-725-74723"/>
        <s v="1191-1458732274-5073-4666586"/>
        <s v="1307-1458732265-0524-4666582"/>
        <s v="10-1458732257-2107-4406302"/>
        <s v="10-1458732237-7274-326469"/>
        <s v="10-1458732233-7618-677246"/>
        <s v="10-1458732230-2621-615554"/>
        <n v="312129223"/>
        <s v="48-1458732202-1523-211676"/>
        <n v="312129209"/>
        <s v="34-1458732192-1408-730958"/>
        <s v="10-1458732189-1415-50650"/>
        <s v="10-1458732181-6532-4605470"/>
        <s v="10-1458732165-716-1318707"/>
        <s v="12-1458732159-3361-2473467"/>
        <s v="10-1458732154-4564-677246"/>
        <s v="10-1458732154-139-4406302"/>
        <s v="48-1458732145-8274-4520468"/>
        <s v="99-1458732135-7743-4666574"/>
        <s v="10-1458732136-8566-2745261"/>
        <s v="10-1458732136-111-4246942"/>
        <s v="10-1458732128-195-3894109"/>
        <n v="30098369"/>
        <s v="420-1458732087-2344-2381709"/>
        <s v="10-1458732070-0805-4555805"/>
        <s v="239-1458732068-6692-149318"/>
        <n v="49580503"/>
        <s v="47-1458732045-2368-4643451"/>
        <n v="30098353"/>
        <s v="12-1458732029-4558-3474926"/>
        <s v="346-1458732017-2876-3841699"/>
        <s v="12-1458732013-303-299567"/>
        <s v="34-1458732000-217-730958"/>
        <s v="12-1458731996-2622-2946494"/>
        <s v="10-1458731986-0407-258319"/>
        <s v="239-1458731979-1735-167141"/>
        <n v="30098348"/>
        <n v="49580327"/>
        <s v="12-1458731969-2768-3395729"/>
        <s v="34-1458731968-9081-4302403"/>
        <s v="5-1458731957-7083-223999"/>
        <s v="1044-1458731953-0907-4635263"/>
        <n v="30098341"/>
        <n v="49579931"/>
        <s v="5-1458731919-2395-90936"/>
        <s v="47-1458731911-1227-4666562"/>
        <s v="32-1458731911-1604-191139"/>
        <s v="10-1458731907-7231-3988180"/>
        <s v="346-1458731893-263-635186"/>
        <s v="10-1458731887-2014-614054"/>
        <n v="49579697"/>
        <s v="312128837_REF"/>
        <n v="312128837"/>
        <s v="32-1458731833-4028-510477"/>
        <s v="10-1458731832-7028-4420003"/>
        <s v="10-1458731829-2004-4703"/>
        <s v="578-1458731820-7049-832193"/>
        <s v="10-1458731818-374-2049177"/>
        <s v="10-1458731818-1341-1816545"/>
        <s v="10-1458731811-4008-500728"/>
        <s v="346-1458731808-205-4368052"/>
        <s v="578-1458731799-934-835097"/>
        <s v="10-1458731798-2132-2249095"/>
        <s v="578-1458731788-835-696563"/>
        <s v="420-1458731781-851-4666550"/>
        <s v="12-1458731778-2159-801194"/>
        <s v="12-1458731773-4681-74723"/>
        <s v="10-1458731748-3342-247449"/>
        <s v="2-1458731747-0063-4664110"/>
        <n v="312128661"/>
        <s v="10-1458731745-2139-4666546"/>
        <s v="1135-1458731744-001-4545902"/>
        <n v="312128649"/>
        <s v="419-1458731689-9731-3555245"/>
        <n v="30098289"/>
        <n v="49579261"/>
        <n v="312128595"/>
        <s v="99-1458731671-1787-4551449"/>
        <n v="49579083"/>
        <s v="5-1458731657-4293-1362657"/>
        <s v="442-1458731654-6456-4666534"/>
        <s v="419-1458731637-108-4171273"/>
        <n v="312128553"/>
        <s v="10-1458731619-9029-4703"/>
        <s v="12-1458731618-7376-406227"/>
        <n v="312128523"/>
        <s v="12-1458731601-6397-75794"/>
        <n v="312128511"/>
        <s v="578-1458731591-5083-832193"/>
        <s v="578-1458731589-1063-4128496"/>
        <s v="10-1458731580-5888-4495"/>
        <s v="620-1458731573-7882-1643874"/>
        <s v="239-1458731569-3875-149318"/>
        <n v="312128469"/>
        <s v="10-1458731556-4316-4476659"/>
        <s v="10-1458731553-6687-4004722"/>
        <n v="312128455"/>
        <s v="12-1458731549-6014-2946494"/>
        <s v="12-1458731537-5416-575413"/>
        <s v="10-1458731531-6217-349575"/>
        <s v="10-1458731490-5129-4399156"/>
        <s v="10-1458731482-6209-3831412"/>
        <s v="1135-1458731480-3814-4580726"/>
        <s v="12-1458731479-6118-597185"/>
        <s v="1191-1458731476-5938-4666526"/>
        <s v="133-1458731471-1032-4471609"/>
        <s v="420-1458731463-3938-1749984"/>
        <s v="133-1458731450-1538-4471609"/>
        <s v="10-1458731449-0137-4004722"/>
        <s v="10-1458731431-309-41771"/>
        <s v="5-1458731426-7093-1362657"/>
        <s v="1191-1458731420-4168-4666522"/>
        <n v="30098222"/>
        <s v="578-1458731410-0127-693161"/>
        <s v="12-1458731396-3529-818636"/>
        <s v="620-1458731381-5116-1173374"/>
        <s v="99-1458731376-4032-4598759"/>
        <s v="12-1458731375-734-4021501"/>
        <s v="346-1458731357-0175-635186"/>
        <s v="12-1458731343-1142-818636"/>
        <s v="578-1458731326-167-695936"/>
        <s v="10-1458731325-525-4605470"/>
        <s v="48-1458731307-954-40991"/>
        <s v="10-1458731290-6373-4642875"/>
        <s v="10-1458731275-5288-2673468"/>
        <s v="420-1458731266-9748-549725"/>
        <s v="1310-1458731259-9183-4666510"/>
        <s v="420-1458731258-3979-1382133"/>
        <s v="2-1458731241-0376-4664110"/>
        <s v="419-1458731238-9799-3555245"/>
        <s v="133-1458731233-9399-4665182"/>
        <n v="312128103"/>
        <s v="12-1458731221-8374-425710"/>
        <s v="10-1458731220-1173-4666478"/>
        <s v="12-1458731209-1087-261152"/>
        <s v="59-1458731204-9388-249568"/>
        <s v="1573-1458731200-0835-4502111"/>
        <s v="99-1458731192-8784-4436197"/>
        <s v="5-1458731177-0599-90936"/>
        <s v="12-1458731167-6687-74723"/>
        <s v="10-1458731164-9591-4275691"/>
        <n v="30098196"/>
        <s v="1138-1458731156-091-4637887"/>
        <s v="10-1458731146-8641-4251253"/>
        <s v="578-1458731135-5802-4666502"/>
        <s v="578-1458731139-9744-692522"/>
        <s v="1191-1458731137-1108-4666506"/>
        <s v="578-1458731129-5183-824018"/>
        <s v="12-1458731121-2211-3544811"/>
        <n v="30098190"/>
        <n v="312128009"/>
        <s v="10-1458731112-2032-4325059"/>
        <s v="10-1458731100-2206-115866"/>
        <n v="30098181"/>
        <s v="424-1458731065-2218-4502720"/>
        <n v="49577325"/>
        <n v="30098169"/>
        <s v="32-1458731050-7648-83345"/>
        <s v="32-1458731050-2424-721994"/>
        <s v="12-1458731048-765-3489182"/>
        <s v="12-1458731012-2756-4021501"/>
        <s v="420-1458731005-7921-495078"/>
        <n v="30098155"/>
        <s v="59-1458730967-0977-81525"/>
        <s v="10-1458730942-8968-4397146"/>
        <s v="1138-1458730940-2466-4666490"/>
        <s v="99-1458730936-885-4323517"/>
        <n v="30098145"/>
        <n v="312127897"/>
        <s v="419-1458730913-9359-3555245"/>
        <s v="2-1458730912-6483-4664110"/>
        <s v="346-1458730903-9058-635186"/>
        <s v="12-1458730890-3654-1337910"/>
        <n v="49576595"/>
        <s v="578-1458730839-8345-698135"/>
        <n v="30098123"/>
        <s v="578-1458730808-4931-693488"/>
        <s v="12-1458730799-2104-532220"/>
        <s v="59-1458730791-1274-4291390"/>
        <s v="10-1458730782-7903-1316247"/>
        <s v="20-1458730767-3909-2255851"/>
        <s v="346-1458730763-5283-635186"/>
        <s v="12-1458730757-9117-4666474"/>
        <s v="1138-1458730760-462-4637887"/>
        <n v="30098100"/>
        <s v="5-1458730755-4253-623342"/>
        <s v="10-1458730752-4601-4176427"/>
        <s v="12-1458730744-3897-3396473"/>
        <s v="12-1458730743-9199-425710"/>
        <s v="10-1458730716-9603-4558211"/>
        <s v="99-1458730714-4426-4350217"/>
        <s v="32-1458730711-4204-46269"/>
        <n v="30098096"/>
        <n v="30098093"/>
        <s v="99-1458730675-0942-4350217"/>
        <s v="10-1458730674-2139-34553"/>
        <s v="73-1458730671-5623-3262427"/>
        <n v="49575853"/>
        <s v="99-1458730628-1322-4350217"/>
        <s v="10-1458730625-8158-2673468"/>
        <s v="31-1458730625-8556-4666458"/>
        <s v="10-1458730591-2351-4449391"/>
        <s v="99-1458730581-557-4350217"/>
        <s v="12-1458730549-9177-3968290"/>
        <s v="1138-1458730538-6078-4637887"/>
        <s v="578-1458730535-1361-694451"/>
        <s v="99-1458730530-9977-4350217"/>
        <s v="10-1458730490-7392-4011652"/>
        <s v="578-1458730490-1993-2616258"/>
        <s v="12-1458730480-7569-3379550"/>
        <s v="133-1458730467-2977-4471609"/>
        <s v="620-1458730462-3196-1643874"/>
        <s v="73-1458730446-2992-934661"/>
        <s v="346-1458730444-0597-635186"/>
        <s v="73-1458730433-2171-861560"/>
        <s v="31-1458730426-1859-4666438"/>
        <n v="30098028"/>
        <s v="346-1458730405-5377-1424901"/>
        <s v="10-1458730403-9413-4176427"/>
        <s v="10-1458730395-5775-4440481"/>
        <s v="598-1458730380-3798-696572"/>
        <s v="578-1458730379-6615-694451"/>
        <s v="578-1458730374-5178-813284"/>
        <s v="10-1458730364-84-3910870"/>
        <s v="12-1458730350-9805-532220"/>
        <s v="1191-1458730349-5135-4666422"/>
        <s v="12-1458730338-8904-3474926"/>
        <s v="573-1458730333-304-4425154"/>
        <s v="1138-1458730329-6152-4637887"/>
        <s v="10-1458730325-7485-4466410"/>
        <s v="12-1458730325-246-295601"/>
        <s v="578-1458730303-8376-829658"/>
        <s v="12-1458730301-5817-3996103"/>
        <s v="1191-1458730276-5167-4666410"/>
        <s v="442-1458730273-3472-4666406"/>
        <s v="12-1458730275-1567-3968290"/>
        <n v="49574903"/>
        <s v="99-1458730261-9417-4481129"/>
        <s v="12-1458730261-1829-4385863"/>
        <s v="99-1458730255-0777-4352785"/>
        <s v="32-1458730249-833-50111"/>
        <s v="10-1458730248-0174-3847936"/>
        <s v="12-1458730246-9417-306319"/>
        <s v="346-1458730239-1657-635186"/>
        <s v="232-1458730214-1262-4648303"/>
        <s v="10-1458730202-503-703748"/>
        <n v="30097982"/>
        <s v="10-1458730188-9067-4415599"/>
        <s v="47-1458730140-2881-4568348"/>
        <s v="12-1458730105-8562-3381209"/>
        <s v="10-1458730072-019-1276374"/>
        <s v="443-1458730070-8429-4604579"/>
        <s v="10-1458730068-3676-4411831"/>
        <s v="48-1458730052-3974-3401054"/>
        <s v="133-1458730049-0064-4471609"/>
        <n v="30097953"/>
        <s v="346-1458730040-0984-4254412"/>
        <n v="30097942"/>
        <s v="73-1458729998-9167-1924722"/>
        <s v="10-1458729996-0519-4320655"/>
        <s v="10-1458729991-0523-4424047"/>
        <s v="10-1458729974-8124-5872"/>
        <n v="30097927"/>
        <s v="10-1458729956-0456-4011652"/>
        <s v="32-1458729939-8307-37627"/>
        <n v="30097921"/>
        <s v="1477-1458729923-4879-4666382"/>
        <s v="5-1458729921-4414-923261"/>
        <s v="346-1458729920-6437-2325240"/>
        <s v="346-1458729911-9617-635186"/>
        <s v="32-1458729909-5918-44081"/>
        <n v="30097916"/>
        <s v="578-1458729891-5946-728045"/>
        <s v="99-1458729889-0773-4551449"/>
        <s v="1191-1458729862-0033-4666374"/>
        <s v="10-1458729852-095-2946080"/>
        <n v="30097905"/>
        <s v="239-1458729840-6607-4250749"/>
        <s v="12-1458729837-648-3525152"/>
        <s v="12-1458729825-184-3489182"/>
        <s v="10-1458729805-4967-4666366"/>
        <s v="10-1458729802-4932-3847306"/>
        <s v="12-1458729795-8547-306319"/>
        <s v="12-1458729790-3798-72913"/>
        <s v="99-1458729776-0119-4292329"/>
        <s v="10-1458729773-4069-503477"/>
        <s v="10-1458729747-7784-4666354"/>
        <s v="419-1458729738-1545-3942523"/>
        <s v="346-1458729736-5544-635186"/>
        <n v="30097889"/>
        <s v="1477-1458729720-0493-4666350"/>
        <s v="48-1458729708-3172-4666346"/>
        <s v="1138-1458729706-5779-4638415"/>
        <s v="1191-1458729702-3263-4666338"/>
        <s v="12-1458729696-6584-3381209"/>
        <n v="30097865"/>
        <s v="420-1458729676-0926-495078"/>
        <s v="743-1458729673-3526-4224823"/>
        <s v="10-1458729638-0389-1318707"/>
        <s v="10-1458729634-4813-1318707"/>
        <s v="1135-1458729615-9388-4580726"/>
        <s v="10-1458729600-6702-1318707"/>
        <s v="73-1458729595-1812-3918166"/>
        <s v="346-1458729588-8197-635186"/>
        <s v="59-1458729584-0963-4291390"/>
        <s v="99-1458729572-249-4424308"/>
        <s v="10-1458729552-7411-4339894"/>
        <s v="5-1458729540-4557-1362657"/>
        <s v="10-1458729531-1608-4339249"/>
        <s v="10-1458729519-7011-4642103"/>
        <s v="1573-1458729477-4732-4502111"/>
        <s v="12-1458729477-4628-306319"/>
        <s v="743-1458729476-6064-4572461"/>
        <s v="73-1458729472-7796-4238761"/>
        <s v="48-1458729469-7326-4666330"/>
        <s v="5-1458729462-4476-923261"/>
        <s v="12-1458729441-066-3381209"/>
        <s v="10-1458729436-9618-4339894"/>
        <s v="99-1458729431-8662-4436197"/>
        <s v="10-1458729429-3636-3978694"/>
        <s v="12-1458729412-9344-3525152"/>
        <s v="346-1458729363-0107-836144"/>
        <s v="59-1458729361-9743-522659"/>
        <s v="12-1458729357-2911-587639"/>
        <s v="215-1458729335-6289-1042783"/>
        <s v="10-1458729334-6783-4011652"/>
        <s v="10-1458729314-9014-2991896"/>
        <s v="1307-1458729288-5495-4666322"/>
        <s v="419-1458729285-4275-3942523"/>
        <s v="5-1458729283-1503-923438"/>
        <s v="12-1458729266-0025-4385863"/>
        <s v="48-1458729264-3346-4526741"/>
        <s v="1161-1458729263-4658-4516529"/>
        <s v="346-1458729245-8083-1378494"/>
        <s v="215-1458729242-4092-3474614"/>
        <s v="34-1458729240-5692-4302403"/>
        <s v="99-1458729221-2109-4459192"/>
        <n v="30097786"/>
        <s v="48-1458729216-2789-4576694"/>
        <s v="1135-1458729204-2541-4580726"/>
        <s v="12-1458729203-1993-3396473"/>
        <s v="578-1458729187-8537-695219"/>
        <s v="5-1458729177-9402-13923"/>
        <s v="99-1458729135-2334-4666310"/>
        <s v="99-1458729126-362-4459192"/>
        <s v="1396-1458729121-2428-4553741"/>
        <s v="1396-1458729090-7521-4457029"/>
        <s v="419-1458729081-5331-1087388"/>
        <s v="99-1458729080-1956-4405657"/>
        <s v="1477-1458729079-3247-4666306"/>
        <s v="99-1458729071-1236-4459192"/>
        <s v="787-1458729058-1837-3968275"/>
        <s v="48-1458729053-3032-4666302"/>
        <s v="1396-1458729052-2625-4649443"/>
        <s v="787-1458729045-0289-4281100"/>
        <s v="1396-1458729032-3889-4623847"/>
        <n v="30028334"/>
        <s v="346-1458729015-4571-657125"/>
        <s v="12-1458729001-4646-3996103"/>
        <s v="73-1458728998-8347-861560"/>
        <s v="10-1458728994-9755-3654242"/>
        <s v="10-1458728993-8978-609935"/>
        <s v="12-1458728980-0172-3396473"/>
        <s v="99-1458728979-8022-4405657"/>
        <n v="30097750"/>
        <s v="578-1458728928-7174-4309804"/>
        <s v="12-1458728910-5168-4633447"/>
        <s v="47-1458728907-337-4658930"/>
        <s v="48-1458728901-6109-4527950"/>
        <s v="346-1458728895-5366-650435"/>
        <s v="601-1458728895-0585-4628231"/>
        <s v="12-1458728875-66-80414"/>
        <s v="578-1458728869-961-706982"/>
        <s v="99-1458728864-0867-4405657"/>
        <s v="59-1458728863-6741-177198"/>
        <s v="21-1458728821-2991-2180161"/>
        <s v="5-1458728814-7742-923261"/>
        <s v="47-1458728811-96-4666294"/>
        <s v="1191-1458728787-5299-4666290"/>
        <s v="32-1458728772-279-90028"/>
        <s v="1191-1458728770-6907-4666286"/>
        <s v="743-1458728759-2914-3223922"/>
        <s v="1135-1458728744-3817-4626467"/>
        <s v="10-1458728709-2644-3038153"/>
        <s v="346-1458728709-0444-636233"/>
        <s v="99-1458728702-7453-4601174"/>
        <s v="10-1458728699-2047-331235"/>
        <s v="51-1458728695-6833-414788"/>
        <s v="346-1458728693-6707-650435"/>
        <s v="133-1458728679-2357-1399224"/>
        <s v="51-1458728667-6621-410075"/>
        <n v="30097702"/>
        <s v="578-1458728650-405-747512"/>
        <s v="1191-1458728645-0543-4666282"/>
        <s v="10-1458728614-9368-333519"/>
        <s v="99-1458728612-8055-4292332"/>
        <n v="30097697"/>
        <s v="48-1458728609-3873-4638079"/>
        <s v="424-1458728603-6796-4071412"/>
        <s v="59-1458728599-8101-177198"/>
        <s v="51-1458728595-1577-410839"/>
        <s v="10-1458728585-4954-16745"/>
        <s v="5-1458728557-4819-4003711"/>
        <s v="48-1458728544-7635-4520273"/>
        <s v="12-1458728539-7013-4311883"/>
        <s v="10-1458728534-0579-61729"/>
        <s v="48-1458728532-3939-4526741"/>
        <s v="12-1458728524-8941-170300"/>
        <s v="5-1458728511-8907-923261"/>
        <s v="12-1458728501-3396-229267"/>
        <s v="419-1458728483-0401-4172437"/>
        <n v="312126057"/>
        <s v="59-1458728469-8607-177198"/>
        <s v="10-1458728454-2708-4011652"/>
        <s v="5-1458728450-489-3644513"/>
        <s v="442-1458728443-4994-4665642"/>
        <s v="346-1458728433-8695-650435"/>
        <n v="312125985"/>
        <n v="30097664"/>
        <s v="12-1458728401-1522-1272819"/>
        <s v="12-1458728393-0982-270297"/>
        <s v="32-1458728386-8825-4012282"/>
        <s v="743-1458728369-7435-4666274"/>
        <s v="12-1458728367-8733-3474740"/>
        <n v="30097645"/>
        <s v="10-1458728327-7984-4666150"/>
        <s v="743-1458728321-859-4666274"/>
        <s v="73-1458728325-4893-1882803"/>
        <s v="12-1458728325-0591-74723"/>
        <s v="239-1458728312-5237-4192240"/>
        <s v="12-1458728293-1913-170300"/>
        <n v="30097639"/>
        <s v="420-1458728275-031-959239"/>
        <s v="5-1458728267-156-923261"/>
        <s v="48-1458728260-6258-31537"/>
        <n v="312125795"/>
        <s v="5-1458728242-3163-923438"/>
        <s v="578-1458728230-6162-764423"/>
        <s v="1191-1458728227-4264-4666270"/>
        <s v="1477-1458728226-6863-4666266"/>
        <s v="51-1458728225-9075-414788"/>
        <n v="312125759"/>
        <s v="7-1458728198-6119-196920"/>
        <s v="73-1458728181-0813-3485753"/>
        <s v="10-1458728173-2182-4485035"/>
        <s v="12-1458728164-6968-80414"/>
        <s v="10-1458728156-0566-4544588"/>
        <s v="10-1458728133-5298-4666150"/>
        <s v="12-1458728127-7628-4385863"/>
        <n v="30097603"/>
        <s v="346-1458728112-5609-2739552"/>
        <s v="10-1458728100-7908-4511696"/>
        <s v="620-1458728095-3129-1415193"/>
        <s v="10-1458728091-958-4602242"/>
        <s v="12-1458728081-1783-87177"/>
        <s v="10-1458728051-0989-4666150"/>
        <s v="239-1458728047-7809-1660317"/>
        <s v="420-1458728037-1421-1140365"/>
        <s v="10-1458728033-1225-4555943"/>
        <s v="7-1458728023-6905-3911854"/>
        <s v="10-1458728022-9078-62586"/>
        <s v="10-1458728016-9007-4664714"/>
        <s v="228-1458728009-9401-4658650"/>
        <n v="312125503"/>
        <s v="10-1458727978-8439-4450696"/>
        <s v="1477-1458727977-7109-4666250"/>
        <s v="5-1458727971-916-923438"/>
        <n v="30097575"/>
        <n v="312125469"/>
        <n v="49567465"/>
        <s v="10-1458727946-0317-4560206"/>
        <s v="346-1458727944-704-635405"/>
        <s v="99-1458727942-2171-4310374"/>
        <s v="10-1458727929-5446-4586603"/>
        <n v="312125431"/>
        <s v="10-1458727923-0126-4651291"/>
        <s v="99-1458727907-4236-4666242"/>
        <s v="419-1458727902-6015-554181"/>
        <s v="10-1458727902-4652-4373377"/>
        <s v="12-1458727885-9539-2691936"/>
        <s v="397-1458727881-1243-1131965"/>
        <s v="12-1458727875-9217-2377260"/>
        <s v="51-1458727869-8826-414788"/>
        <s v="10-1458727869-5015-4011652"/>
        <s v="48-1458727864-7689-40991"/>
        <s v="48-1458727855-8069-532281"/>
        <s v="12-1458727852-7041-72913"/>
        <s v="12-1458727848-5093-2742366"/>
        <s v="10-1458727833-0082-4431868"/>
        <n v="312125301"/>
        <s v="12-1458727819-4165-3540053"/>
        <s v="48-1458727817-0343-31537"/>
        <s v="10-1458727809-7189-4661938"/>
        <s v="32-1458727788-7782-3851749"/>
        <s v="59-1458727766-8752-4205698"/>
        <s v="10-1458727765-5337-839294"/>
        <s v="12-1458727765-3937-1647462"/>
        <s v="743-1458727761-5275-2686071"/>
        <s v="1191-1458727743-9478-4666226"/>
        <s v="12-1458727735-1796-3381209"/>
        <s v="12-1458727723-0698-170300"/>
        <s v="346-1458727716-4063-4555418"/>
        <s v="5-1458727708-8098-576519"/>
        <s v="215-1458727702-4966-3474614"/>
        <n v="312125135"/>
        <s v="32-1458727691-6206-45525"/>
        <n v="312125113"/>
        <s v="10-1458727672-9214-4651291"/>
        <n v="312125103"/>
        <s v="10-1458727668-5757-839294"/>
        <n v="30097525"/>
        <n v="30097524"/>
        <s v="10-1458727652-5916-3721367"/>
        <n v="312125049"/>
        <n v="312125045"/>
        <s v="5-1458727619-851-923261"/>
        <s v="10-1458727602-4517-4486274"/>
        <s v="133-1458727593-4144-4471609"/>
        <s v="48-1458727585-082-31537"/>
        <s v="10-1458727574-0539-4666218"/>
        <n v="312125003"/>
        <s v="419-1458727558-4327-4621327"/>
        <s v="10-1458727556-7926-4651291"/>
        <s v="12-1458727551-3452-295601"/>
        <s v="346-1458727544-1326-2598711"/>
        <n v="312124969"/>
        <s v="443-1458727526-8153-4604579"/>
        <s v="10-1458727525-2729-4486274"/>
        <s v="12-1458727520-544-3381209"/>
        <s v="59-1458727519-5186-505438"/>
        <s v="10-1458727517-3158-4617306"/>
        <n v="30097494"/>
        <n v="312124951"/>
        <s v="5-1458727473-6348-621278"/>
        <s v="5-1458727467-4035-55620"/>
        <s v="10-1458727465-4153-4486274"/>
        <s v="12-1458727460-0149-491228"/>
        <s v="48-1458727447-1604-4520273"/>
        <s v="12-1458727446-8075-4623595"/>
        <s v="10-1458727446-3235-4666194"/>
        <n v="30097482"/>
        <n v="312124903"/>
        <s v="10-1458727397-979-4293763"/>
        <s v="10-1458727397-7988-4486274"/>
        <s v="419-1458727395-2576-4613181"/>
        <s v="12-1458727369-1596-225368"/>
        <s v="683-1458727365-4264-4664522"/>
        <s v="578-1458727365-58-4309804"/>
        <s v="5-1458727365-2875-55620"/>
        <s v="419-1458727361-7058-1943154"/>
        <n v="312124839"/>
        <s v="1138-1458727342-9292-4638415"/>
        <s v="73-1458727339-7061-4346353"/>
        <s v="12-1458727336-3976-3396473"/>
        <n v="312124811"/>
        <s v="12-1458727331-6595-3968290"/>
        <s v="10-1458727328-0806-8812"/>
        <s v="5-1458727323-2013-4579712"/>
        <s v="578-1458727317-7196-691151"/>
        <s v="12-1458727311-6995-79152"/>
        <s v="10-1458727233-0309-4215619"/>
        <s v="5-1458727224-7213-923261"/>
        <s v="12-1458727184-4617-415786"/>
        <s v="10-1458727181-9441-4444768"/>
        <s v="47-1458727181-2296-34761"/>
        <s v="5-1458727174-752-55620"/>
        <s v="47-1458727172-6447-261017"/>
        <s v="10-1458727145-7053-4492850"/>
        <s v="12-1458727137-0219-79152"/>
        <s v="12-1458727136-8218-74723"/>
        <s v="47-1458727124-4257-32069"/>
        <s v="99-1458727122-4329-4312492"/>
        <s v="5-1458727103-3066-55620"/>
        <s v="48-1458727091-3926-31537"/>
        <n v="30097436"/>
        <s v="48-1458727081-3865-4638079"/>
        <s v="10-1458727068-6442-1419015"/>
        <s v="99-1458727062-1681-4649599"/>
        <s v="578-1458727017-5977-693938"/>
        <s v="51-1458727016-9588-414788"/>
        <s v="12-1458727016-0566-107651"/>
        <s v="7-1458726983-8974-736703"/>
        <s v="346-1458726930-493-4630703"/>
        <s v="10-1458726930-5403-5978"/>
        <n v="49564393"/>
        <s v="419-1458726915-7985-4310440"/>
        <s v="133-1458726902-8279-875897"/>
        <s v="12-1458726902-4302-74723"/>
        <s v="10-1458726895-6446-4666150"/>
        <n v="30097406"/>
        <s v="578-1458726879-7703-693938"/>
        <s v="48-1458726879-0928-199963"/>
        <s v="346-1458726877-0706-4526222"/>
        <s v="1212-1458726855-8622-4666170"/>
        <s v="5-1458726845-1132-55620"/>
        <s v="10-1458726843-8964-4666150"/>
        <s v="10-1458726836-4483-4610685"/>
        <s v="10-1458726822-5519-4619979"/>
        <s v="12-1458726804-6324-491228"/>
        <n v="30097392"/>
        <s v="10-1458726769-4753-4421575"/>
        <s v="10-1458726767-8336-2664522"/>
        <s v="99-1458726767-6352-4619815"/>
        <s v="12-1458726756-3787-261152"/>
        <s v="5-1458726750-0098-923261"/>
        <s v="10-1458726749-1302-4666150"/>
        <s v="99-1458726748-6228-4300732"/>
        <s v="51-1458726744-0835-411173"/>
        <s v="419-1458726738-0138-1943154"/>
        <s v="5-1458726733-0661-4579712"/>
        <s v="578-1458726729-1764-692837"/>
        <s v="420-1458726725-6343-959239"/>
        <s v="51-1458726720-9966-414788"/>
        <s v="59-1458726710-5233-84491"/>
        <s v="59-1458726705-8444-441633"/>
        <s v="99-1458726684-3326-4619815"/>
        <s v="1191-1458726665-261-4666146"/>
        <s v="7-1458726663-9662-624167"/>
        <n v="30097373"/>
        <s v="48-1458726641-3335-4530884"/>
        <n v="30097369"/>
        <s v="1191-1458726632-4844-4666142"/>
        <s v="12-1458726631-5165-3396473"/>
        <s v="5-1458726609-8761-4196482"/>
        <s v="12-1458726609-3393-3381209"/>
        <s v="5-1458726607-0279-2820"/>
        <s v="5-1458726566-6697-8222"/>
        <s v="10-1458726565-2598-4275052"/>
        <s v="12-1458726556-2387-3489182"/>
        <s v="419-1458726522-7377-1943154"/>
        <s v="578-1458726512-5695-3770653"/>
        <s v="12-1458726509-2595-3537092"/>
        <s v="419-1458726503-8723-2521095"/>
        <s v="10-1458726483-3418-618290"/>
        <s v="578-1458726452-6412-701066"/>
        <s v="10-1458726447-4516-4275052"/>
        <s v="59-1458726443-2554-497494"/>
        <s v="12-1458726442-8537-460109"/>
        <s v="1477-1458726440-4605-4666122"/>
        <n v="30097327"/>
        <s v="12-1458726402-7241-3537092"/>
        <s v="578-1458726388-5634-3770653"/>
        <s v="10-1458726383-2668-2664522"/>
        <s v="59-1458726373-8777-4665646"/>
        <s v="10-1458726368-9851-4619979"/>
        <s v="239-1458726364-7429-165159"/>
        <s v="346-1458726354-9456-4597022"/>
        <s v="10-1458726352-6421-4619979"/>
        <s v="12-1458726338-8864-4606010"/>
        <s v="578-1458726320-5988-705251"/>
        <s v="578-1458726318-1069-692690"/>
        <s v="12-1458726311-7613-519970"/>
        <s v="419-1458726308-5552-2521095"/>
        <s v="1135-1458726308-0091-2263713"/>
        <s v="419-1458726299-8815-1943154"/>
        <n v="49562283"/>
        <s v="1135-1458726265-7055-4580726"/>
        <s v="10-1458726264-3282-4275052"/>
        <s v="10-1458726261-4553-4647599"/>
        <s v="578-1458726258-2054-742379"/>
        <s v="12-1458726255-3855-73895"/>
        <n v="312124307"/>
        <s v="346-1458726242-5441-4411345"/>
        <s v="12-1458726223-5921-3488906"/>
        <s v="12-1458726199-5554-170300"/>
        <s v="10-1458726184-0134-3904339"/>
        <s v="10-1458726172-3496-4275052"/>
        <s v="10-1458726163-7469-1733232"/>
        <s v="34-1458726161-8697-1497792"/>
        <s v="12-1458726148-0485-78866"/>
        <s v="7-1458726122-3721-622856"/>
        <s v="10-1458726121-4477-4019971"/>
        <s v="5-1458726109-4725-9816"/>
        <s v="10-1458726108-9103-4275052"/>
        <n v="30097282"/>
        <s v="10-1458726060-1498-4275052"/>
        <s v="10-1458726047-8538-4458424"/>
        <s v="12-1458726045-0891-801194"/>
        <s v="12-1458726026-1316-3447659"/>
        <s v="12-1458726026-1539-170300"/>
        <s v="12-1458726026-1901-73895"/>
        <s v="51-1458726008-5944-414788"/>
        <s v="10-1458726007-7383-4617654"/>
        <s v="10-1458725987-4634-8812"/>
        <s v="10-1458725972-0234-4275052"/>
        <s v="12-1458725943-2501-517602"/>
        <s v="10-1458725929-884-3904339"/>
        <s v="5-1458725927-3645-220941"/>
        <s v="12-1458725926-3346-261152"/>
        <s v="59-1458725917-7475-177198"/>
        <s v="10-1458725916-0342-4275052"/>
        <s v="10-1458725894-9531-3863110"/>
        <s v="10-1458725891-1555-3904339"/>
        <s v="12-1458725880-3759-4256416"/>
        <s v="48-1458725867-356-4526741"/>
        <s v="10-1458725854-7131-4640951"/>
        <s v="10-1458725848-5232-4590506"/>
        <s v="32-1458725838-355-37627"/>
        <s v="12-1458725836-4811-371277"/>
        <s v="59-1458725833-9647-441633"/>
        <s v="99-1458725830-1573-4293907"/>
        <s v="5-1458725811-5784-223999"/>
        <s v="5-1458725810-3477-220941"/>
        <s v="578-1458725792-8206-1495137"/>
        <s v="1138-1458725765-5887-4666034"/>
        <s v="10-1458725748-2619-4275052"/>
        <s v="12-1458725725-4795-3379661"/>
        <s v="32-1458725713-662-4477727"/>
        <s v="1135-1458725695-7605-2263713"/>
        <s v="12-1458725670-1193-3396473"/>
        <s v="10-1458725666-4131-4275052"/>
        <s v="442-1458725639-5018-4666078"/>
        <s v="12-1458725640-1606-79152"/>
        <n v="30097205"/>
        <s v="620-1458725603-4854-1435278"/>
        <s v="32-1458725601-4822-199579"/>
        <s v="1396-1458725569-0323-4451983"/>
        <s v="12-1458725562-9161-73895"/>
        <s v="578-1458725538-3449-4554428"/>
        <s v="578-1458725527-6243-4226413"/>
        <s v="1307-1458725521-2868-4666066"/>
        <s v="420-1458725517-4896-959239"/>
        <s v="12-1458725509-0628-170300"/>
        <n v="312123763"/>
        <s v="1396-1458725507-793-4589453"/>
        <s v="51-1458725499-8249-414788"/>
        <s v="10-1458725460-265-4405579"/>
        <s v="346-1458725454-6968-650435"/>
        <s v="1396-1458725453-9627-4458160"/>
        <n v="49559893"/>
        <s v="1396-1458725443-1981-4649295"/>
        <s v="5-1458725412-3501-4196482"/>
        <s v="1396-1458725410-3981-4649055"/>
        <s v="73-1458725390-0714-3480227"/>
        <s v="48-1458725375-1082-31537"/>
        <s v="20-1458725367-07-2053596"/>
        <s v="10-1458725356-6415-11123"/>
        <s v="10-1458725349-8967-1287480"/>
        <s v="10-1458725346-0961-33571"/>
        <s v="578-1458725299-25-698135"/>
        <s v="10-1458725295-8331-4605470"/>
        <s v="32-1458725268-4681-47287"/>
        <s v="1477-1458725258-3807-4666042"/>
        <s v="578-1458725255-4738-4554428"/>
        <s v="1138-1458725244-7599-4666034"/>
        <s v="10-1458725242-2747-39559"/>
        <s v="5-1458725240-8516-4598606"/>
        <s v="346-1458725234-7736-650435"/>
        <s v="215-1458725184-9638-1042783"/>
        <s v="578-1458725174-374-2446440"/>
        <s v="47-1458725143-3964-4569356"/>
        <s v="51-1458725127-2738-414788"/>
        <s v="424-1458725115-5872-1170449"/>
        <n v="312123293"/>
        <s v="51-1458725093-118-3138593"/>
        <s v="10-1458725090-8548-5848"/>
        <s v="12-1458725084-2794-4332457"/>
        <s v="48-1458725072-5786-31537"/>
        <s v="12-1458725058-5771-76376"/>
        <s v="51-1458725033-1383-411173"/>
        <s v="12-1458725030-0903-92994"/>
        <s v="12-1458725024-84-460109"/>
        <s v="598-1458725018-4454-4660750"/>
        <s v="10-1458725016-9806-4647599"/>
        <s v="12-1458724998-0784-261152"/>
        <s v="443-1458724991-1816-4660862"/>
        <s v="12-1458724985-3943-3996103"/>
        <s v="12-1458724966-4046-3381209"/>
        <s v="12-1458724964-7845-4311883"/>
        <s v="133-1458724950-822-4315951"/>
        <s v="32-1458724937-2801-3851749"/>
        <s v="239-1458724918-1747-528864"/>
        <n v="49558331"/>
        <s v="215-1458724867-4889-3267737"/>
        <s v="51-1458724860-3864-414788"/>
        <s v="12-1458724849-9442-170300"/>
        <s v="346-1458724846-7168-650435"/>
        <s v="10-1458724842-8277-388191"/>
        <s v="99-1458724828-3544-4310374"/>
        <s v="578-1458724819-0868-895328"/>
        <n v="49558049"/>
        <s v="10-1458724738-3018-4220416"/>
        <s v="10-1458724693-1902-2741049"/>
        <s v="419-1458724689-4906-523856"/>
        <s v="32-1458724676-9937-54564"/>
        <s v="10-1458724644-7102-4555259"/>
        <s v="12-1458724642-4095-2946494"/>
        <s v="420-1458724637-7195-4665998"/>
        <s v="215-1458724621-6591-1042783"/>
        <s v="1212-1458724614-3478-4665994"/>
        <s v="10-1458724590-9433-4540979"/>
        <s v="1191-1458724579-6839-4665986"/>
        <s v="32-1458724563-1696-45521"/>
        <s v="133-1458724561-8716-875897"/>
        <s v="73-1458724546-8927-4346353"/>
        <n v="30097076"/>
        <s v="10-1458724516-6312-1487829"/>
        <s v="1516-1458724504-9918-4554209"/>
        <s v="5-1458724501-792-4196482"/>
        <s v="5-1458724499-29-4598606"/>
        <s v="12-1458724498-0938-3381209"/>
        <s v="51-1458724479-9193-3138593"/>
        <s v="1212-1458724467-5505-4665982"/>
        <s v="419-1458724446-2231-2521095"/>
        <s v="51-1458724443-66-410087"/>
        <s v="59-1458724436-9005-2125890"/>
        <m/>
      </sharedItems>
    </cacheField>
    <cacheField name="ExternalCustomer" numFmtId="0">
      <sharedItems containsBlank="1"/>
    </cacheField>
    <cacheField name="Direction" numFmtId="0">
      <sharedItems containsBlank="1"/>
    </cacheField>
    <cacheField name="Rate" numFmtId="0">
      <sharedItems containsString="0" containsBlank="1" containsNumber="1" minValue="0" maxValue="133.96738150115243"/>
    </cacheField>
    <cacheField name="DealtCurrency" numFmtId="0">
      <sharedItems containsBlank="1" count="2">
        <s v="EUR"/>
        <m/>
      </sharedItems>
    </cacheField>
    <cacheField name="AgainstCurrency" numFmtId="0">
      <sharedItems containsBlank="1" count="16">
        <s v="TRY"/>
        <s v="NOK"/>
        <s v="CAD"/>
        <s v="JPY"/>
        <s v="GBP"/>
        <s v="AUD"/>
        <s v="NZD"/>
        <s v="USD"/>
        <s v="RUB"/>
        <s v="AED"/>
        <s v="DKK"/>
        <s v="EUR"/>
        <s v="SEK"/>
        <s v="AZN"/>
        <s v="BRL"/>
        <m/>
      </sharedItems>
    </cacheField>
    <cacheField name="DealtAmount" numFmtId="0">
      <sharedItems containsString="0" containsBlank="1" containsNumber="1" minValue="0.01" maxValue="325861.76000000001"/>
    </cacheField>
    <cacheField name="Book" numFmtId="0">
      <sharedItems containsBlank="1"/>
    </cacheField>
    <cacheField name="ValueDate" numFmtId="0">
      <sharedItems containsNonDate="0" containsString="0" containsBlank="1"/>
    </cacheField>
    <cacheField name="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23">
  <r>
    <s v="3641053-1458747975-56"/>
    <s v="Spot"/>
    <s v="3641053-1458747975-56"/>
    <n v="0"/>
    <d v="2016-03-31T00:00:00"/>
    <x v="0"/>
    <s v="56"/>
    <s v="SELL"/>
    <n v="3.3881725211204983"/>
    <x v="0"/>
    <x v="0"/>
    <n v="76.2"/>
    <s v="Deal"/>
    <m/>
    <s v="Original Amount [EUR 22.49], Merchant Amount [EUR 22.49], Customer Amount [TRY 76.2], Status [WAITING], Operation [3D], UUID [3641053-1458747975-56] [23/03/2016 at 15:46:00]"/>
  </r>
  <r>
    <s v="3641050-1458747973-261"/>
    <s v="Spot"/>
    <s v="3641050-1458747973-261"/>
    <n v="0"/>
    <d v="2016-03-31T00:00:00"/>
    <x v="1"/>
    <s v="261"/>
    <s v="SELL"/>
    <n v="9.9505876068376082"/>
    <x v="0"/>
    <x v="1"/>
    <n v="745.1"/>
    <s v="Deal"/>
    <m/>
    <s v="Original Amount [EUR 74.88], Merchant Amount [EUR 74.88], Customer Amount [NOK 745.1], Status [APPROVED], Operation [DIRECT], UUID [3641050-1458747973-261] [23/03/2016 at 15:46:00]"/>
  </r>
  <r>
    <s v="3641044-1458747967-238"/>
    <s v="Spot"/>
    <s v="3641044-1458747967-238"/>
    <n v="0"/>
    <d v="2016-03-31T00:00:00"/>
    <x v="2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41044-1458747967-238] [23/03/2016 at 15:46:00]"/>
  </r>
  <r>
    <s v="3641041-1458747966-216"/>
    <s v="Spot"/>
    <s v="3641041-1458747966-216"/>
    <n v="0"/>
    <d v="2016-03-31T00:00:00"/>
    <x v="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41041-1458747966-216] [23/03/2016 at 15:46:00]"/>
  </r>
  <r>
    <s v="3641038-1458747964-171"/>
    <s v="Spot"/>
    <s v="3641038-1458747964-171"/>
    <n v="0"/>
    <d v="2016-03-31T00:00:00"/>
    <x v="4"/>
    <s v="171"/>
    <s v="SELL"/>
    <n v="1.5513950073421439"/>
    <x v="0"/>
    <x v="2"/>
    <n v="21.13"/>
    <s v="Deal"/>
    <m/>
    <s v="Original Amount [EUR 13.62], Merchant Amount [EUR 13.62], Customer Amount [CAD 21.13], Status [APPROVED], Operation [DIRECT], UUID [3641038-1458747964-171] [23/03/2016 at 15:46:00]"/>
  </r>
  <r>
    <s v="3641035-1458747961-172"/>
    <s v="Spot"/>
    <s v="3641035-1458747961-172"/>
    <n v="0"/>
    <d v="2016-03-31T00:00:00"/>
    <x v="5"/>
    <s v="172"/>
    <s v="SELL"/>
    <n v="9.9505853658536587"/>
    <x v="0"/>
    <x v="1"/>
    <n v="2039.87"/>
    <s v="Deal"/>
    <m/>
    <s v="Original Amount [EUR 205], Merchant Amount [EUR 205], Customer Amount [NOK 2039.87], Status [WAITING], Operation [3D], UUID [3641035-1458747961-172] [23/03/2016 at 15:46:00]"/>
  </r>
  <r>
    <s v="3641032-1458747961-200"/>
    <s v="Spot"/>
    <s v="3641032-1458747961-200"/>
    <n v="0"/>
    <d v="2016-03-31T00:00:00"/>
    <x v="6"/>
    <s v="200"/>
    <s v="SELL"/>
    <n v="9.9506666666666668"/>
    <x v="0"/>
    <x v="1"/>
    <n v="298.52"/>
    <s v="Deal"/>
    <m/>
    <s v="Original Amount [EUR 30], Merchant Amount [EUR 30], Customer Amount [NOK 298.52], Status [WAITING], Operation [3D], UUID [3641032-1458747961-200] [23/03/2016 at 15:46:00]"/>
  </r>
  <r>
    <s v="3641029-1458747959-107"/>
    <s v="Spot"/>
    <s v="3641029-1458747959-107"/>
    <n v="0"/>
    <d v="2016-03-31T00:00:00"/>
    <x v="7"/>
    <s v="107"/>
    <s v="SELL"/>
    <n v="3.388029589778077"/>
    <x v="0"/>
    <x v="0"/>
    <n v="50.38"/>
    <s v="Deal"/>
    <m/>
    <s v="Original Amount [EUR 14.87], Merchant Amount [EUR 14.87], Customer Amount [TRY 50.38], Status [WAITING], Operation [3D], UUID [3641029-1458747959-107] [23/03/2016 at 15:45:00]"/>
  </r>
  <r>
    <s v="3641026-1458747957-102"/>
    <s v="Spot"/>
    <s v="3641026-1458747957-102"/>
    <n v="0"/>
    <d v="2016-03-31T00:00:00"/>
    <x v="8"/>
    <s v="102"/>
    <s v="SELL"/>
    <n v="3.3879032258064514"/>
    <x v="0"/>
    <x v="0"/>
    <n v="42.01"/>
    <s v="Deal"/>
    <m/>
    <s v="Original Amount [EUR 12.4], Merchant Amount [EUR 12.4], Customer Amount [TRY 42.01], Status [WAITING], Operation [3D], UUID [3641026-1458747957-102] [23/03/2016 at 15:45:00]"/>
  </r>
  <r>
    <s v="3641023-1458747956-224"/>
    <s v="Spot"/>
    <s v="3641023-1458747956-224"/>
    <n v="0"/>
    <d v="2016-03-31T00:00:00"/>
    <x v="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41023-1458747956-224] [23/03/2016 at 15:45:00]"/>
  </r>
  <r>
    <s v="3641056-1458747977-203"/>
    <s v="Spot"/>
    <s v="3641056-1458747977-203"/>
    <n v="0"/>
    <d v="2016-03-31T00:00:00"/>
    <x v="1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41056-1458747977-203] [23/03/2016 at 15:46:00]"/>
  </r>
  <r>
    <s v="3641008-1458747953-216"/>
    <s v="Spot"/>
    <s v="3641008-1458747953-216"/>
    <n v="0"/>
    <d v="2016-03-31T00:00:00"/>
    <x v="11"/>
    <s v="216"/>
    <s v="SELL"/>
    <n v="3.3881156316916488"/>
    <x v="0"/>
    <x v="0"/>
    <n v="63.29"/>
    <s v="Deal"/>
    <m/>
    <s v="Original Amount [EUR 18.68], Merchant Amount [EUR 18.68], Customer Amount [TRY 63.29], Status [WAITING], Operation [3D], UUID [3641008-1458747953-216] [23/03/2016 at 15:45:00]"/>
  </r>
  <r>
    <s v="3641020-1458747955-107"/>
    <s v="Spot"/>
    <s v="3641020-1458747955-107"/>
    <n v="0"/>
    <d v="2016-03-31T00:00:00"/>
    <x v="12"/>
    <s v="107"/>
    <s v="SELL"/>
    <n v="3.3880494505494503"/>
    <x v="0"/>
    <x v="0"/>
    <n v="49.33"/>
    <s v="Deal"/>
    <m/>
    <s v="Original Amount [EUR 14.56], Merchant Amount [EUR 14.56], Customer Amount [TRY 49.33], Status [APPROVED], Operation [3DAUTH], UUID [3641020-1458747955-107] [23/03/2016 at 15:45:00]"/>
  </r>
  <r>
    <s v="3641017-1458747955-126"/>
    <s v="Spot"/>
    <s v="3641017-1458747955-126"/>
    <n v="0"/>
    <d v="2016-03-31T00:00:00"/>
    <x v="13"/>
    <s v="126"/>
    <s v="SELL"/>
    <n v="9.9512195121951219"/>
    <x v="0"/>
    <x v="1"/>
    <n v="102"/>
    <s v="Deal"/>
    <m/>
    <s v="Original Amount [EUR 10.25], Merchant Amount [EUR 10.25], Customer Amount [NOK 102], Status [APPROVED], Operation [3DAUTH], UUID [3641017-1458747955-126] [23/03/2016 at 15:45:00]"/>
  </r>
  <r>
    <s v="3640978-1458747920-200"/>
    <s v="Spot"/>
    <s v="3640978-1458747920-200"/>
    <n v="0"/>
    <d v="2016-03-31T00:00:00"/>
    <x v="14"/>
    <s v="200"/>
    <s v="SELL"/>
    <n v="9.9533333333333331"/>
    <x v="0"/>
    <x v="1"/>
    <n v="29.86"/>
    <s v="Deal"/>
    <m/>
    <s v="Original Amount [EUR 3], Merchant Amount [EUR 3], Customer Amount [NOK 29.86], Status [WAITING], Operation [3D], UUID [3640978-1458747920-200] [23/03/2016 at 15:45:00]"/>
  </r>
  <r>
    <s v="3640963-1458747913-264"/>
    <s v="Spot"/>
    <s v="3640963-1458747913-264"/>
    <n v="0"/>
    <d v="2016-03-31T00:00:00"/>
    <x v="15"/>
    <s v="264"/>
    <s v="SELL"/>
    <n v="3.3918781725888327"/>
    <x v="0"/>
    <x v="0"/>
    <n v="100.23"/>
    <s v="Deal"/>
    <m/>
    <s v="Original Amount [TRY 95], Merchant Amount [EUR 29.55], Customer Amount [TRY 100.23], Status [WAITING], Operation [3D], UUID [3640963-1458747913-264] [23/03/2016 at 15:45:00]"/>
  </r>
  <r>
    <s v="3640981-1458747922-107"/>
    <s v="Spot"/>
    <s v="3640981-1458747922-107"/>
    <n v="0"/>
    <d v="2016-03-31T00:00:00"/>
    <x v="1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81-1458747922-107] [23/03/2016 at 15:45:00]"/>
  </r>
  <r>
    <s v="3640942-1458747896-119"/>
    <s v="Spot"/>
    <s v="3640942-1458747896-119"/>
    <n v="0"/>
    <d v="2016-03-31T00:00:00"/>
    <x v="17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40942-1458747896-119] [23/03/2016 at 15:44:00]"/>
  </r>
  <r>
    <s v="3640990-1458747923-216"/>
    <s v="Spot"/>
    <s v="3640990-1458747923-216"/>
    <n v="0"/>
    <d v="2016-03-31T00:00:00"/>
    <x v="1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990-1458747923-216] [23/03/2016 at 15:45:00]"/>
  </r>
  <r>
    <s v="3640933-1458747889-126"/>
    <s v="Spot"/>
    <s v="3640933-1458747889-126"/>
    <n v="0"/>
    <d v="2016-03-31T00:00:00"/>
    <x v="19"/>
    <s v="126"/>
    <s v="SELL"/>
    <n v="9.9753658536585377"/>
    <x v="0"/>
    <x v="1"/>
    <n v="408.99"/>
    <s v="Deal"/>
    <m/>
    <s v="Original Amount [EUR 41], Merchant Amount [EUR 41], Customer Amount [NOK 408.99], Status [APPROVED], Operation [DIRECT], UUID [3640933-1458747889-126] [23/03/2016 at 15:44:00]"/>
  </r>
  <r>
    <s v="3640930-1458747888-216"/>
    <s v="Spot"/>
    <s v="3640930-1458747888-216"/>
    <n v="0"/>
    <d v="2016-03-31T00:00:00"/>
    <x v="2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40930-1458747888-216] [23/03/2016 at 15:44:00]"/>
  </r>
  <r>
    <s v="3640927-1458747888-119"/>
    <s v="Spot"/>
    <s v="3640927-1458747888-119"/>
    <n v="0"/>
    <d v="2016-03-31T00:00:00"/>
    <x v="21"/>
    <s v="119"/>
    <s v="SELL"/>
    <n v="9.9753428571428575"/>
    <x v="0"/>
    <x v="1"/>
    <n v="3491.37"/>
    <s v="Deal"/>
    <m/>
    <s v="Original Amount [EUR 350], Merchant Amount [EUR 350], Customer Amount [NOK 3491.37], Status [APPROVED], Operation [DIRECT], UUID [3640927-1458747888-119] [23/03/2016 at 15:44:00]"/>
  </r>
  <r>
    <s v="3640921-1458747867-224"/>
    <s v="Spot"/>
    <s v="3640921-1458747867-224"/>
    <n v="0"/>
    <d v="2016-03-31T00:00:00"/>
    <x v="22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40921-1458747867-224] [23/03/2016 at 15:44:00]"/>
  </r>
  <r>
    <s v="3640936-1458747891-196"/>
    <s v="Spot"/>
    <s v="3640936-1458747891-196"/>
    <n v="0"/>
    <d v="2016-03-31T00:00:00"/>
    <x v="23"/>
    <s v="196"/>
    <s v="SELL"/>
    <n v="9.9753892516323468"/>
    <x v="0"/>
    <x v="1"/>
    <n v="198.61"/>
    <s v="Deal"/>
    <m/>
    <s v="Original Amount [EUR 19.91], Merchant Amount [EUR 19.91], Customer Amount [NOK 198.61], Status [APPROVED], Operation [3DAUTH], UUID [3640936-1458747891-196] [23/03/2016 at 15:44:00]"/>
  </r>
  <r>
    <s v="3640903-1458747840-224"/>
    <s v="Spot"/>
    <s v="3640903-1458747840-224"/>
    <n v="0"/>
    <d v="2016-03-31T00:00:00"/>
    <x v="24"/>
    <s v="224"/>
    <s v="SELL"/>
    <n v="133.03761198036079"/>
    <x v="0"/>
    <x v="3"/>
    <n v="237905.84"/>
    <s v="Deal"/>
    <m/>
    <s v="Original Amount [EUR 1788.26], Merchant Amount [EUR 1788.26], Customer Amount [JPY 237905.84], Status [APPROVED], Operation [DIRECT], UUID [3640903-1458747840-224] [23/03/2016 at 15:44:00]"/>
  </r>
  <r>
    <s v="3640918-1458747867-107"/>
    <s v="Spot"/>
    <s v="3640918-1458747867-107"/>
    <n v="0"/>
    <d v="2016-03-31T00:00:00"/>
    <x v="25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40918-1458747867-107] [23/03/2016 at 15:44:00]"/>
  </r>
  <r>
    <s v="3640897-1458747835-187"/>
    <s v="Spot"/>
    <s v="3640897-1458747835-187"/>
    <n v="0"/>
    <d v="2016-03-31T00:00:00"/>
    <x v="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40897-1458747835-187] [23/03/2016 at 15:43:00]"/>
  </r>
  <r>
    <s v="3640888-1458747823-224"/>
    <s v="Spot"/>
    <s v="3640888-1458747823-224"/>
    <n v="0"/>
    <d v="2016-03-31T00:00:00"/>
    <x v="2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40888-1458747823-224] [23/03/2016 at 15:43:00]"/>
  </r>
  <r>
    <s v="3640864-1458747788-160"/>
    <s v="Spot"/>
    <s v="3640864-1458747788-160"/>
    <n v="0"/>
    <d v="2016-03-31T00:00:00"/>
    <x v="2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40864-1458747788-160] [23/03/2016 at 15:43:00]"/>
  </r>
  <r>
    <s v="3640855-1458747780-224"/>
    <s v="Spot"/>
    <s v="3640855-1458747780-224"/>
    <n v="0"/>
    <d v="2016-03-31T00:00:00"/>
    <x v="29"/>
    <s v="224"/>
    <s v="SELL"/>
    <n v="133.03761171116838"/>
    <x v="0"/>
    <x v="3"/>
    <n v="24264.73"/>
    <s v="Deal"/>
    <m/>
    <s v="Original Amount [EUR 182.39], Merchant Amount [EUR 182.39], Customer Amount [JPY 24264.73], Status [APPROVED], Operation [DIRECT], UUID [3640855-1458747780-224] [23/03/2016 at 15:43:00]"/>
  </r>
  <r>
    <s v="3640849-1458747776-261"/>
    <s v="Spot"/>
    <s v="3640849-1458747776-261"/>
    <n v="0"/>
    <d v="2016-03-31T00:00:00"/>
    <x v="30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40849-1458747776-261] [23/03/2016 at 15:42:00]"/>
  </r>
  <r>
    <s v="3640861-1458747785-264"/>
    <s v="Spot"/>
    <s v="3640861-1458747785-264"/>
    <n v="0"/>
    <d v="2016-03-31T00:00:00"/>
    <x v="31"/>
    <s v="264"/>
    <s v="SELL"/>
    <n v="3.397137745974955"/>
    <x v="0"/>
    <x v="0"/>
    <n v="18.989999999999998"/>
    <s v="Deal"/>
    <m/>
    <s v="Original Amount [TRY 18], Merchant Amount [EUR 5.59], Customer Amount [TRY 18.99], Status [APPROVED], Operation [3DAUTH], UUID [3640861-1458747785-264] [23/03/2016 at 15:43:00]"/>
  </r>
  <r>
    <s v="3640834-1458747756-200"/>
    <s v="Spot"/>
    <s v="3640834-1458747756-200"/>
    <n v="0"/>
    <d v="2016-03-31T00:00:00"/>
    <x v="3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40834-1458747756-200] [23/03/2016 at 15:42:00]"/>
  </r>
  <r>
    <s v="3640813-1458747736-261"/>
    <s v="Spot"/>
    <s v="3640813-1458747736-261"/>
    <n v="0"/>
    <d v="2016-03-31T00:00:00"/>
    <x v="33"/>
    <s v="261"/>
    <s v="SELL"/>
    <n v="9.9754672897196262"/>
    <x v="0"/>
    <x v="1"/>
    <n v="170.78"/>
    <s v="Deal"/>
    <m/>
    <s v="Original Amount [EUR 17.12], Merchant Amount [EUR 17.12], Customer Amount [NOK 170.78], Status [APPROVED], Operation [DIRECT], UUID [3640813-1458747736-261] [23/03/2016 at 15:42:00]"/>
  </r>
  <r>
    <s v="3640828-1458747750-216"/>
    <s v="Spot"/>
    <s v="3640828-1458747750-216"/>
    <n v="0"/>
    <d v="2016-03-31T00:00:00"/>
    <x v="34"/>
    <s v="216"/>
    <s v="SELL"/>
    <n v="3.3923444976076556"/>
    <x v="0"/>
    <x v="0"/>
    <n v="49.63"/>
    <s v="Deal"/>
    <m/>
    <s v="Original Amount [EUR 14.63], Merchant Amount [EUR 14.63], Customer Amount [TRY 49.63], Status [APPROVED], Operation [3DAUTH], UUID [3640828-1458747750-216] [23/03/2016 at 15:42:00]"/>
  </r>
  <r>
    <s v="3640819-1458747743-126"/>
    <s v="Spot"/>
    <s v="3640819-1458747743-126"/>
    <n v="0"/>
    <d v="2016-03-31T00:00:00"/>
    <x v="35"/>
    <s v="126"/>
    <s v="SELL"/>
    <n v="9.9506341463414643"/>
    <x v="0"/>
    <x v="1"/>
    <n v="509.97"/>
    <s v="Deal"/>
    <m/>
    <s v="Original Amount [EUR 51.25], Merchant Amount [EUR 51.25], Customer Amount [NOK 509.97], Status [APPROVED], Operation [3DAUTH], UUID [3640819-1458747743-126] [23/03/2016 at 15:42:00]"/>
  </r>
  <r>
    <s v="3640846-1458747771-101"/>
    <s v="Spot"/>
    <s v="3640846-1458747771-101"/>
    <n v="0"/>
    <d v="2016-03-31T00:00:00"/>
    <x v="36"/>
    <s v="101"/>
    <s v="SELL"/>
    <n v="3.3921568627450975"/>
    <x v="0"/>
    <x v="0"/>
    <n v="108.99"/>
    <s v="Deal"/>
    <m/>
    <s v="Original Amount [EUR 32.13], Merchant Amount [EUR 32.13], Customer Amount [TRY 108.99], Status [APPROVED], Operation [3DAUTH], UUID [3640846-1458747771-101] [23/03/2016 at 15:42:00]"/>
  </r>
  <r>
    <s v="3640792-1458747716-216"/>
    <s v="Spot"/>
    <s v="3640792-1458747716-216"/>
    <n v="0"/>
    <d v="2016-03-31T00:00:00"/>
    <x v="37"/>
    <s v="216"/>
    <s v="SELL"/>
    <n v="3.3925767309064954"/>
    <x v="0"/>
    <x v="0"/>
    <n v="47.53"/>
    <s v="Deal"/>
    <m/>
    <s v="Original Amount [EUR 14.01], Merchant Amount [EUR 14.01], Customer Amount [TRY 47.53], Status [WAITING], Operation [3D], UUID [3640792-1458747716-216] [23/03/2016 at 15:41:00]"/>
  </r>
  <r>
    <s v="3640789-1458747715-224"/>
    <s v="Spot"/>
    <s v="3640789-1458747715-224"/>
    <n v="0"/>
    <d v="2016-03-31T00:00:00"/>
    <x v="38"/>
    <s v="224"/>
    <s v="SELL"/>
    <n v="9.9507123604158654"/>
    <x v="0"/>
    <x v="1"/>
    <n v="258.42"/>
    <s v="Deal"/>
    <m/>
    <s v="Original Amount [EUR 25.97], Merchant Amount [EUR 25.97], Customer Amount [NOK 258.42], Status [APPROVED], Operation [DIRECT], UUID [3640789-1458747715-224] [23/03/2016 at 15:41:00]"/>
  </r>
  <r>
    <s v="3640771-1458747664-119"/>
    <s v="Spot"/>
    <s v="3640771-1458747664-119"/>
    <n v="0"/>
    <d v="2016-03-31T00:00:00"/>
    <x v="39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771-1458747664-119] [23/03/2016 at 15:41:00]"/>
  </r>
  <r>
    <s v="3640762-1458747656-145"/>
    <s v="Spot"/>
    <s v="3640762-1458747656-145"/>
    <n v="0"/>
    <d v="2016-03-31T00:00:00"/>
    <x v="4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40762-1458747656-145] [23/03/2016 at 15:40:00]"/>
  </r>
  <r>
    <s v="3640780-1458747694-203"/>
    <s v="Spot"/>
    <s v="3640780-1458747694-203"/>
    <n v="0"/>
    <d v="2016-03-31T00:00:00"/>
    <x v="41"/>
    <s v="203"/>
    <s v="SELL"/>
    <n v="3.3922580645161289"/>
    <x v="0"/>
    <x v="0"/>
    <n v="52.58"/>
    <s v="Deal"/>
    <m/>
    <s v="Original Amount [EUR 15.5], Merchant Amount [EUR 15.5], Customer Amount [TRY 52.58], Status [APPROVED], Operation [3DAUTH], UUID [3640780-1458747694-203] [23/03/2016 at 15:41:00]"/>
  </r>
  <r>
    <s v="3640756-1458747647-224"/>
    <s v="Spot"/>
    <s v="3640756-1458747647-224"/>
    <n v="0"/>
    <d v="2016-03-31T00:00:00"/>
    <x v="42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40756-1458747647-224] [23/03/2016 at 15:40:00]"/>
  </r>
  <r>
    <s v="3640774-1458747666-216"/>
    <s v="Spot"/>
    <s v="3640774-1458747666-216"/>
    <n v="0"/>
    <d v="2016-03-31T00:00:00"/>
    <x v="43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40774-1458747666-216] [23/03/2016 at 15:41:00]"/>
  </r>
  <r>
    <s v="3640768-1458747662-101"/>
    <s v="Spot"/>
    <s v="3640768-1458747662-101"/>
    <n v="0"/>
    <d v="2016-03-31T00:00:00"/>
    <x v="44"/>
    <s v="101"/>
    <s v="SELL"/>
    <n v="3.3922691481746599"/>
    <x v="0"/>
    <x v="0"/>
    <n v="94.78"/>
    <s v="Deal"/>
    <m/>
    <s v="Original Amount [EUR 27.94], Merchant Amount [EUR 27.94], Customer Amount [TRY 94.78], Status [APPROVED], Operation [3DAUTH], UUID [3640768-1458747662-101] [23/03/2016 at 15:41:00]"/>
  </r>
  <r>
    <s v="3640738-1458747631-224"/>
    <s v="Spot"/>
    <s v="3640738-1458747631-224"/>
    <n v="0"/>
    <d v="2016-03-31T00:00:00"/>
    <x v="4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738-1458747631-224] [23/03/2016 at 15:40:00]"/>
  </r>
  <r>
    <s v="3640753-1458747645-216"/>
    <s v="Spot"/>
    <s v="3640753-1458747645-216"/>
    <n v="0"/>
    <d v="2016-03-31T00:00:00"/>
    <x v="4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40753-1458747645-216] [23/03/2016 at 15:40:00]"/>
  </r>
  <r>
    <s v="3640726-1458747620-56"/>
    <s v="Spot"/>
    <s v="3640726-1458747620-56"/>
    <n v="0"/>
    <d v="2016-03-31T00:00:00"/>
    <x v="47"/>
    <s v="56"/>
    <s v="SELL"/>
    <n v="3.3922789539227898"/>
    <x v="0"/>
    <x v="0"/>
    <n v="27.24"/>
    <s v="Deal"/>
    <m/>
    <s v="Original Amount [EUR 8.03], Merchant Amount [EUR 8.03], Customer Amount [TRY 27.24], Status [WAITING], Operation [3D], UUID [3640726-1458747620-56] [23/03/2016 at 15:40:00]"/>
  </r>
  <r>
    <s v="3640735-1458747624-216"/>
    <s v="Spot"/>
    <s v="3640735-1458747624-216"/>
    <n v="0"/>
    <d v="2016-03-31T00:00:00"/>
    <x v="48"/>
    <s v="216"/>
    <s v="SELL"/>
    <n v="3.3921001926782273"/>
    <x v="0"/>
    <x v="0"/>
    <n v="105.63"/>
    <s v="Deal"/>
    <m/>
    <s v="Original Amount [EUR 31.14], Merchant Amount [EUR 31.14], Customer Amount [TRY 105.63], Status [APPROVED], Operation [3DAUTH], UUID [3640735-1458747624-216] [23/03/2016 at 15:40:00]"/>
  </r>
  <r>
    <s v="3640744-1458747637-216"/>
    <s v="Spot"/>
    <s v="3640744-1458747637-216"/>
    <n v="0"/>
    <d v="2016-03-31T00:00:00"/>
    <x v="49"/>
    <s v="216"/>
    <s v="SELL"/>
    <n v="3.3923982869379015"/>
    <x v="0"/>
    <x v="0"/>
    <n v="63.37"/>
    <s v="Deal"/>
    <m/>
    <s v="Original Amount [EUR 18.68], Merchant Amount [EUR 18.68], Customer Amount [TRY 63.37], Status [APPROVED], Operation [3DAUTH], UUID [3640744-1458747637-216] [23/03/2016 at 15:40:00]"/>
  </r>
  <r>
    <s v="3640693-1458747581-216"/>
    <s v="Spot"/>
    <s v="3640693-1458747581-216"/>
    <n v="0"/>
    <d v="2016-03-31T00:00:00"/>
    <x v="50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40693-1458747581-216] [23/03/2016 at 15:39:00]"/>
  </r>
  <r>
    <s v="3640690-1458747577-107"/>
    <s v="Spot"/>
    <s v="3640690-1458747577-107"/>
    <n v="0"/>
    <d v="2016-03-31T00:00:00"/>
    <x v="51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40690-1458747577-107] [23/03/2016 at 15:39:00]"/>
  </r>
  <r>
    <s v="3640666-1458747552-199"/>
    <s v="Spot"/>
    <s v="3640666-1458747552-199"/>
    <n v="0"/>
    <d v="2016-03-31T00:00:00"/>
    <x v="52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40666-1458747552-199] [23/03/2016 at 15:39:00]"/>
  </r>
  <r>
    <s v="3640663-1458747550-119"/>
    <s v="Spot"/>
    <s v="3640663-1458747550-119"/>
    <n v="0"/>
    <d v="2016-03-31T00:00:00"/>
    <x v="5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40663-1458747550-119] [23/03/2016 at 15:39:00]"/>
  </r>
  <r>
    <s v="3640687-1458747570-101"/>
    <s v="Spot"/>
    <s v="3640687-1458747570-101"/>
    <n v="0"/>
    <d v="2016-03-31T00:00:00"/>
    <x v="54"/>
    <s v="101"/>
    <s v="SELL"/>
    <n v="3.3985056039850563"/>
    <x v="0"/>
    <x v="0"/>
    <n v="54.58"/>
    <s v="Deal"/>
    <m/>
    <s v="Original Amount [EUR 16.06], Merchant Amount [EUR 16.06], Customer Amount [TRY 54.58], Status [APPROVED], Operation [3DAUTH], UUID [3640687-1458747570-101] [23/03/2016 at 15:39:00]"/>
  </r>
  <r>
    <s v="3640654-1458747530-199"/>
    <s v="Spot"/>
    <s v="3640654-1458747530-199"/>
    <n v="0"/>
    <d v="2016-03-31T00:00:00"/>
    <x v="55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40654-1458747530-199] [23/03/2016 at 15:38:00]"/>
  </r>
  <r>
    <s v="3640681-1458747564-216"/>
    <s v="Spot"/>
    <s v="3640681-1458747564-216"/>
    <n v="0"/>
    <d v="2016-03-31T00:00:00"/>
    <x v="56"/>
    <s v="216"/>
    <s v="SELL"/>
    <n v="3.3989726027397262"/>
    <x v="0"/>
    <x v="0"/>
    <n v="39.700000000000003"/>
    <s v="Deal"/>
    <m/>
    <s v="Original Amount [EUR 11.68], Merchant Amount [EUR 11.68], Customer Amount [TRY 39.7], Status [APPROVED], Operation [3DAUTH], UUID [3640681-1458747564-216] [23/03/2016 at 15:39:00]"/>
  </r>
  <r>
    <s v="3640627-1458747511-224"/>
    <s v="Spot"/>
    <s v="3640627-1458747511-224"/>
    <n v="0"/>
    <d v="2016-03-31T00:00:00"/>
    <x v="57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27-1458747511-224] [23/03/2016 at 15:38:00]"/>
  </r>
  <r>
    <s v="3640621-1458747499-200"/>
    <s v="Spot"/>
    <s v="3640621-1458747499-200"/>
    <n v="0"/>
    <d v="2016-03-31T00:00:00"/>
    <x v="58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40621-1458747499-200] [23/03/2016 at 15:38:00]"/>
  </r>
  <r>
    <s v="3640618-1458747494-224"/>
    <s v="Spot"/>
    <s v="3640618-1458747494-224"/>
    <n v="0"/>
    <d v="2016-03-31T00:00:00"/>
    <x v="59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40618-1458747494-224] [23/03/2016 at 15:38:00]"/>
  </r>
  <r>
    <s v="3640612-1458747488-216"/>
    <s v="Spot"/>
    <s v="3640612-1458747488-216"/>
    <n v="0"/>
    <d v="2016-03-31T00:00:00"/>
    <x v="60"/>
    <s v="216"/>
    <s v="SELL"/>
    <n v="3.3989856297548604"/>
    <x v="0"/>
    <x v="0"/>
    <n v="40.21"/>
    <s v="Deal"/>
    <m/>
    <s v="Original Amount [EUR 11.83], Merchant Amount [EUR 11.83], Customer Amount [TRY 40.21], Status [WAITING], Operation [3D], UUID [3640612-1458747488-216] [23/03/2016 at 15:38:00]"/>
  </r>
  <r>
    <s v="3640633-1458747514-216"/>
    <s v="Spot"/>
    <s v="3640633-1458747514-216"/>
    <n v="0"/>
    <d v="2016-03-31T00:00:00"/>
    <x v="61"/>
    <s v="216"/>
    <s v="SELL"/>
    <n v="3.3985010706638117"/>
    <x v="0"/>
    <x v="0"/>
    <n v="158.71"/>
    <s v="Deal"/>
    <m/>
    <s v="Original Amount [EUR 46.7], Merchant Amount [EUR 46.7], Customer Amount [TRY 158.71], Status [APPROVED], Operation [3DAUTH], UUID [3640633-1458747514-216] [23/03/2016 at 15:38:00]"/>
  </r>
  <r>
    <s v="3640684-1458747568-126"/>
    <s v="Spot"/>
    <s v="3640684-1458747568-126"/>
    <n v="0"/>
    <d v="2016-03-31T00:00:00"/>
    <x v="62"/>
    <s v="126"/>
    <s v="SELL"/>
    <n v="9.9508130081300799"/>
    <x v="0"/>
    <x v="1"/>
    <n v="244.79"/>
    <s v="Deal"/>
    <m/>
    <s v="Original Amount [EUR 24.6], Merchant Amount [EUR 24.6], Customer Amount [NOK 244.79], Status [APPROVED], Operation [3DAUTH], UUID [3640684-1458747568-126] [23/03/2016 at 15:39:00]"/>
  </r>
  <r>
    <s v="3640588-1458747464-261"/>
    <s v="Spot"/>
    <s v="3640588-1458747464-261"/>
    <n v="0"/>
    <d v="2016-03-31T00:00:00"/>
    <x v="63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40588-1458747464-261] [23/03/2016 at 15:37:00]"/>
  </r>
  <r>
    <s v="3640624-1458747505-107"/>
    <s v="Spot"/>
    <s v="3640624-1458747505-107"/>
    <n v="0"/>
    <d v="2016-03-31T00:00:00"/>
    <x v="64"/>
    <s v="107"/>
    <s v="SELL"/>
    <n v="3.3989670755326014"/>
    <x v="0"/>
    <x v="0"/>
    <n v="52.65"/>
    <s v="Deal"/>
    <m/>
    <s v="Original Amount [EUR 15.49], Merchant Amount [EUR 15.49], Customer Amount [TRY 52.65], Status [APPROVED], Operation [3DAUTH], UUID [3640624-1458747505-107] [23/03/2016 at 15:38:00]"/>
  </r>
  <r>
    <s v="3640537-1458747396-200"/>
    <s v="Spot"/>
    <s v="3640537-1458747396-200"/>
    <n v="0"/>
    <d v="2016-03-31T00:00:00"/>
    <x v="65"/>
    <s v="200"/>
    <s v="SELL"/>
    <n v="9.9510000000000005"/>
    <x v="0"/>
    <x v="1"/>
    <n v="199.02"/>
    <s v="Deal"/>
    <m/>
    <s v="Original Amount [EUR 20], Merchant Amount [EUR 20], Customer Amount [NOK 199.02], Status [APPROVED], Operation [STORED], UUID [3640537-1458747396-200] [23/03/2016 at 15:36:00]"/>
  </r>
  <r>
    <s v="3640555-1458747415-56"/>
    <s v="Spot"/>
    <s v="3640555-1458747415-56"/>
    <n v="0"/>
    <d v="2016-03-31T00:00:00"/>
    <x v="66"/>
    <s v="56"/>
    <s v="SELL"/>
    <n v="3.398416389115817"/>
    <x v="0"/>
    <x v="0"/>
    <n v="540.79"/>
    <s v="Deal"/>
    <m/>
    <s v="Original Amount [EUR 159.13], Merchant Amount [EUR 159.13], Customer Amount [TRY 540.79], Status [APPROVED], Operation [3DAUTH], UUID [3640555-1458747415-56] [23/03/2016 at 15:36:00]"/>
  </r>
  <r>
    <s v="3640534-1458747395-145"/>
    <s v="Spot"/>
    <s v="3640534-1458747395-145"/>
    <n v="0"/>
    <d v="2016-03-31T00:00:00"/>
    <x v="67"/>
    <s v="145"/>
    <s v="SELL"/>
    <n v="9.9507268265055693"/>
    <x v="0"/>
    <x v="1"/>
    <n v="527.09"/>
    <s v="Deal"/>
    <m/>
    <s v="Original Amount [EUR 52.97], Merchant Amount [EUR 52.97], Customer Amount [NOK 527.09], Status [APPROVED], Operation [DIRECT], UUID [3640534-1458747395-145] [23/03/2016 at 15:36:00]"/>
  </r>
  <r>
    <s v="3640528-1458747393-119"/>
    <s v="Spot"/>
    <s v="3640528-1458747393-119"/>
    <n v="0"/>
    <d v="2016-03-31T00:00:00"/>
    <x v="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40528-1458747393-119] [23/03/2016 at 15:36:00]"/>
  </r>
  <r>
    <s v="3640525-1458747393-216"/>
    <s v="Spot"/>
    <s v="3640525-1458747393-216"/>
    <n v="0"/>
    <d v="2016-03-31T00:00:00"/>
    <x v="69"/>
    <s v="216"/>
    <s v="SELL"/>
    <n v="3.3990825688073389"/>
    <x v="0"/>
    <x v="0"/>
    <n v="37.049999999999997"/>
    <s v="Deal"/>
    <m/>
    <s v="Original Amount [EUR 10.9], Merchant Amount [EUR 10.9], Customer Amount [TRY 37.05], Status [WAITING], Operation [3D], UUID [3640525-1458747393-216] [23/03/2016 at 15:36:00]"/>
  </r>
  <r>
    <s v="3640507-1458747375-126"/>
    <s v="Spot"/>
    <s v="3640507-1458747375-126"/>
    <n v="0"/>
    <d v="2016-03-31T00:00:00"/>
    <x v="70"/>
    <s v="126"/>
    <s v="SELL"/>
    <n v="9.9506341463414643"/>
    <x v="0"/>
    <x v="1"/>
    <n v="1019.94"/>
    <s v="Deal"/>
    <m/>
    <s v="Original Amount [EUR 102.5], Merchant Amount [EUR 102.5], Customer Amount [NOK 1019.94], Status [APPROVED], Operation [DIRECT], UUID [3640507-1458747375-126] [23/03/2016 at 15:36:00]"/>
  </r>
  <r>
    <s v="3640504-1458747369-224"/>
    <s v="Spot"/>
    <s v="3640504-1458747369-224"/>
    <n v="0"/>
    <d v="2016-03-31T00:00:00"/>
    <x v="71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40504-1458747369-224] [23/03/2016 at 15:36:00]"/>
  </r>
  <r>
    <s v="3640519-1458747385-56"/>
    <s v="Spot"/>
    <s v="3640519-1458747385-56"/>
    <n v="0"/>
    <d v="2016-03-31T00:00:00"/>
    <x v="7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19-1458747385-56] [23/03/2016 at 15:36:00]"/>
  </r>
  <r>
    <s v="3640486-1458747346-261"/>
    <s v="Spot"/>
    <s v="3640486-1458747346-261"/>
    <n v="0"/>
    <d v="2016-03-31T00:00:00"/>
    <x v="73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40486-1458747346-261] [23/03/2016 at 15:35:00]"/>
  </r>
  <r>
    <s v="3640522-1458747388-56"/>
    <s v="Spot"/>
    <s v="3640522-1458747388-56"/>
    <n v="0"/>
    <d v="2016-03-31T00:00:00"/>
    <x v="74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522-1458747388-56] [23/03/2016 at 15:36:00]"/>
  </r>
  <r>
    <s v="3640477-1458747339-125"/>
    <s v="Spot"/>
    <s v="3640477-1458747339-125"/>
    <n v="0"/>
    <d v="2016-03-31T00:00:00"/>
    <x v="75"/>
    <s v="125"/>
    <s v="SELL"/>
    <n v="9.954600000000001"/>
    <x v="0"/>
    <x v="1"/>
    <n v="1990.92"/>
    <s v="Deal"/>
    <m/>
    <s v="Original Amount [EUR 200], Merchant Amount [EUR 200], Customer Amount [NOK 1990.92], Status [APPROVED], Operation [DIRECT], UUID [3640477-1458747339-125] [23/03/2016 at 15:35:00]"/>
  </r>
  <r>
    <s v="3640468-1458747334-119"/>
    <s v="Spot"/>
    <s v="3640468-1458747334-119"/>
    <n v="0"/>
    <d v="2016-03-31T00:00:00"/>
    <x v="76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40468-1458747334-119] [23/03/2016 at 15:35:00]"/>
  </r>
  <r>
    <s v="3640465-1458747330-119"/>
    <s v="Spot"/>
    <s v="3640465-1458747330-119"/>
    <n v="0"/>
    <d v="2016-03-31T00:00:00"/>
    <x v="7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40465-1458747330-119] [23/03/2016 at 15:35:00]"/>
  </r>
  <r>
    <s v="3640456-1458747313-101"/>
    <s v="Spot"/>
    <s v="3640456-1458747313-101"/>
    <n v="0"/>
    <d v="2016-03-31T00:00:00"/>
    <x v="78"/>
    <s v="101"/>
    <s v="SELL"/>
    <n v="3.3879377431906614"/>
    <x v="0"/>
    <x v="0"/>
    <n v="87.07"/>
    <s v="Deal"/>
    <m/>
    <s v="Original Amount [EUR 25.7], Merchant Amount [EUR 25.7], Customer Amount [TRY 87.07], Status [WAITING], Operation [3D], UUID [3640456-1458747313-101] [23/03/2016 at 15:35:00]"/>
  </r>
  <r>
    <s v="3640495-1458747358-56"/>
    <s v="Spot"/>
    <s v="3640495-1458747358-56"/>
    <n v="0"/>
    <d v="2016-03-31T00:00:00"/>
    <x v="79"/>
    <s v="56"/>
    <s v="SELL"/>
    <n v="3.3878787878787882"/>
    <x v="0"/>
    <x v="0"/>
    <n v="122.98"/>
    <s v="Deal"/>
    <m/>
    <s v="Original Amount [EUR 36.3], Merchant Amount [EUR 36.3], Customer Amount [TRY 122.98], Status [APPROVED], Operation [3DAUTH], UUID [3640495-1458747358-56] [23/03/2016 at 15:35:00]"/>
  </r>
  <r>
    <s v="3640429-1458747279-82"/>
    <s v="Spot"/>
    <s v="3640429-1458747279-82"/>
    <n v="0"/>
    <d v="2016-03-31T00:00:00"/>
    <x v="8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40429-1458747279-82] [23/03/2016 at 15:34:00]"/>
  </r>
  <r>
    <s v="3640420-1458747273-224"/>
    <s v="Spot"/>
    <s v="3640420-1458747273-224"/>
    <n v="0"/>
    <d v="2016-03-31T00:00:00"/>
    <x v="8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40420-1458747273-224] [23/03/2016 at 15:34:00]"/>
  </r>
  <r>
    <s v="3640492-1458747356-216"/>
    <s v="Spot"/>
    <s v="3640492-1458747356-216"/>
    <n v="0"/>
    <d v="2016-03-31T00:00:00"/>
    <x v="82"/>
    <s v="216"/>
    <s v="SELL"/>
    <n v="3.388046387154326"/>
    <x v="0"/>
    <x v="0"/>
    <n v="37.979999999999997"/>
    <s v="Deal"/>
    <m/>
    <s v="Original Amount [EUR 11.21], Merchant Amount [EUR 11.21], Customer Amount [TRY 37.98], Status [APPROVED], Operation [3DAUTH], UUID [3640492-1458747356-216] [23/03/2016 at 15:35:00]"/>
  </r>
  <r>
    <s v="3640447-1458747296-216"/>
    <s v="Spot"/>
    <s v="3640447-1458747296-216"/>
    <n v="0"/>
    <d v="2016-03-31T00:00:00"/>
    <x v="83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40447-1458747296-216] [23/03/2016 at 15:34:00]"/>
  </r>
  <r>
    <s v="3640405-1458747263-200"/>
    <s v="Spot"/>
    <s v="3640405-1458747263-200"/>
    <n v="0"/>
    <d v="2016-03-31T00:00:00"/>
    <x v="84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40405-1458747263-200] [23/03/2016 at 15:34:00]"/>
  </r>
  <r>
    <s v="3640435-1458747280-264"/>
    <s v="Spot"/>
    <s v="3640435-1458747280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APPROVED], Operation [3DAUTH], UUID [3640435-1458747280-264] [23/03/2016 at 15:34:00]"/>
  </r>
  <r>
    <s v="3640381-1458747242-264"/>
    <s v="Spot"/>
    <s v="3640381-1458747242-264"/>
    <n v="0"/>
    <d v="2016-03-31T00:00:00"/>
    <x v="85"/>
    <s v="264"/>
    <s v="SELL"/>
    <n v="3.3883211678832112"/>
    <x v="0"/>
    <x v="0"/>
    <n v="69.63"/>
    <s v="Deal"/>
    <m/>
    <s v="Original Amount [TRY 66], Merchant Amount [EUR 20.55], Customer Amount [TRY 69.63], Status [WAITING], Operation [3D], UUID [3640381-1458747242-264] [23/03/2016 at 15:34:00]"/>
  </r>
  <r>
    <s v="3640483-1458747343-119"/>
    <s v="Spot"/>
    <s v="3640483-1458747343-119"/>
    <n v="0"/>
    <d v="2016-03-31T00:00:00"/>
    <x v="86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40483-1458747343-119] [23/03/2016 at 15:35:00]"/>
  </r>
  <r>
    <s v="3640402-1458747260-124"/>
    <s v="Spot"/>
    <s v="3640402-1458747260-124"/>
    <n v="0"/>
    <d v="2016-03-31T00:00:00"/>
    <x v="87"/>
    <s v="124"/>
    <s v="SELL"/>
    <n v="9.9546742209631738"/>
    <x v="0"/>
    <x v="1"/>
    <n v="105.42"/>
    <s v="Deal"/>
    <m/>
    <s v="Original Amount [EUR 10.59], Merchant Amount [EUR 10.59], Customer Amount [NOK 105.42], Status [APPROVED], Operation [3DAUTH], UUID [3640402-1458747260-124] [23/03/2016 at 15:34:00]"/>
  </r>
  <r>
    <s v="3640399-1458747259-216"/>
    <s v="Spot"/>
    <s v="3640399-1458747259-216"/>
    <n v="0"/>
    <d v="2016-03-31T00:00:00"/>
    <x v="88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40399-1458747259-216] [23/03/2016 at 15:34:00]"/>
  </r>
  <r>
    <s v="3640348-1458747200-161"/>
    <s v="Spot"/>
    <s v="3640348-1458747200-161"/>
    <n v="0"/>
    <d v="2016-03-31T00:00:00"/>
    <x v="8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40348-1458747200-161] [23/03/2016 at 15:33:00]"/>
  </r>
  <r>
    <s v="3640378-1458747241-56"/>
    <s v="Spot"/>
    <s v="3640378-1458747241-56"/>
    <n v="0"/>
    <d v="2016-03-31T00:00:00"/>
    <x v="9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40378-1458747241-56] [23/03/2016 at 15:34:00]"/>
  </r>
  <r>
    <s v="3640345-1458747199-56"/>
    <s v="Spot"/>
    <s v="3640345-1458747199-56"/>
    <n v="0"/>
    <d v="2016-03-31T00:00:00"/>
    <x v="9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345-1458747199-56] [23/03/2016 at 15:33:00]"/>
  </r>
  <r>
    <s v="3640303-1458747175-187"/>
    <s v="Spot"/>
    <s v="3640303-1458747175-187"/>
    <n v="0"/>
    <d v="2016-03-31T00:00:00"/>
    <x v="92"/>
    <s v="187"/>
    <s v="SELL"/>
    <n v="9.9662832834409958"/>
    <x v="0"/>
    <x v="1"/>
    <n v="1265.1199999999999"/>
    <s v="Deal"/>
    <m/>
    <s v="Original Amount [EUR 126.94], Merchant Amount [EUR 126.94], Customer Amount [NOK 1265.12], Status [APPROVED], Operation [DIRECT], UUID [3640303-1458747175-187] [23/03/2016 at 15:32:00]"/>
  </r>
  <r>
    <s v="3640288-1458747161-224"/>
    <s v="Spot"/>
    <s v="3640288-1458747161-224"/>
    <n v="0"/>
    <d v="2016-03-31T00:00:00"/>
    <x v="9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40288-1458747161-224] [23/03/2016 at 15:32:00]"/>
  </r>
  <r>
    <s v="3640282-1458747157-261"/>
    <s v="Spot"/>
    <s v="3640282-1458747157-261"/>
    <n v="0"/>
    <d v="2016-03-31T00:00:00"/>
    <x v="94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40282-1458747157-261] [23/03/2016 at 15:32:00]"/>
  </r>
  <r>
    <s v="3640279-1458747157-224"/>
    <s v="Spot"/>
    <s v="3640279-1458747157-224"/>
    <n v="0"/>
    <d v="2016-03-31T00:00:00"/>
    <x v="95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40279-1458747157-224] [23/03/2016 at 15:32:00]"/>
  </r>
  <r>
    <s v="3640273-1458747153-161"/>
    <s v="Spot"/>
    <s v="3640273-1458747153-161"/>
    <n v="0"/>
    <d v="2016-03-31T00:00:00"/>
    <x v="96"/>
    <s v="161"/>
    <s v="SELL"/>
    <n v="1.5591127372513152"/>
    <x v="0"/>
    <x v="5"/>
    <n v="136.36000000000001"/>
    <s v="Deal"/>
    <m/>
    <s v="Original Amount [EUR 87.46], Merchant Amount [EUR 87.46], Customer Amount [AUD 136.36], Status [APPROVED], Operation [STORED], UUID [3640273-1458747153-161] [23/03/2016 at 15:32:00]"/>
  </r>
  <r>
    <s v="3640276-1458747153-224"/>
    <s v="Spot"/>
    <s v="3640276-1458747153-224"/>
    <n v="0"/>
    <d v="2016-03-31T00:00:00"/>
    <x v="97"/>
    <s v="224"/>
    <s v="SELL"/>
    <n v="9.9663366336633672"/>
    <x v="0"/>
    <x v="1"/>
    <n v="150.99"/>
    <s v="Deal"/>
    <m/>
    <s v="Original Amount [EUR 15.15], Merchant Amount [EUR 15.15], Customer Amount [NOK 150.99], Status [APPROVED], Operation [DIRECT], UUID [3640276-1458747153-224] [23/03/2016 at 15:32:00]"/>
  </r>
  <r>
    <s v="3640324-1458747187-264"/>
    <s v="Spot"/>
    <s v="3640324-1458747187-264"/>
    <n v="0"/>
    <d v="2016-03-31T00:00:00"/>
    <x v="98"/>
    <s v="264"/>
    <s v="SELL"/>
    <n v="3.3910714285714283"/>
    <x v="0"/>
    <x v="0"/>
    <n v="18.989999999999998"/>
    <s v="Deal"/>
    <m/>
    <s v="Original Amount [TRY 18], Merchant Amount [EUR 5.6], Customer Amount [TRY 18.99], Status [APPROVED], Operation [3DAUTH], UUID [3640324-1458747187-264] [23/03/2016 at 15:33:00]"/>
  </r>
  <r>
    <s v="3640246-1458747137-161"/>
    <s v="Spot"/>
    <s v="3640246-1458747137-161"/>
    <n v="0"/>
    <d v="2016-03-31T00:00:00"/>
    <x v="99"/>
    <s v="161"/>
    <s v="SELL"/>
    <n v="1.5591127372513152"/>
    <x v="0"/>
    <x v="5"/>
    <n v="68.180000000000007"/>
    <s v="Deal"/>
    <m/>
    <s v="Original Amount [EUR 43.73], Merchant Amount [EUR 43.73], Customer Amount [AUD 68.18], Status [APPROVED], Operation [STORED], UUID [3640246-1458747137-161] [23/03/2016 at 15:32:00]"/>
  </r>
  <r>
    <s v="3640219-1458747115-119"/>
    <s v="Spot"/>
    <s v="3640219-1458747115-119"/>
    <n v="0"/>
    <d v="2016-03-31T00:00:00"/>
    <x v="100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40219-1458747115-119] [23/03/2016 at 15:31:00]"/>
  </r>
  <r>
    <s v="3640204-1458747109-161"/>
    <s v="Spot"/>
    <s v="3640204-1458747109-161"/>
    <n v="0"/>
    <d v="2016-03-31T00:00:00"/>
    <x v="101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204-1458747109-161] [23/03/2016 at 15:31:00]"/>
  </r>
  <r>
    <s v="3640261-1458747145-56"/>
    <s v="Spot"/>
    <s v="3640261-1458747145-56"/>
    <n v="0"/>
    <d v="2016-03-31T00:00:00"/>
    <x v="1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40261-1458747145-56] [23/03/2016 at 15:32:00]"/>
  </r>
  <r>
    <s v="3640198-1458747108-224"/>
    <s v="Spot"/>
    <s v="3640198-1458747108-224"/>
    <n v="0"/>
    <d v="2016-03-31T00:00:00"/>
    <x v="103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40198-1458747108-224] [23/03/2016 at 15:31:00]"/>
  </r>
  <r>
    <s v="3640471-1458747335-101"/>
    <s v="Spot"/>
    <s v="3640471-1458747335-101"/>
    <n v="0"/>
    <d v="2016-03-31T00:00:00"/>
    <x v="104"/>
    <s v="101"/>
    <s v="SELL"/>
    <n v="3.392235609103079"/>
    <x v="0"/>
    <x v="0"/>
    <n v="101.36"/>
    <s v="Deal"/>
    <m/>
    <s v="Original Amount [EUR 29.88], Merchant Amount [EUR 29.88], Customer Amount [TRY 101.36], Status [APPROVED], Operation [3DAUTH], UUID [3640471-1458747335-101] [23/03/2016 at 15:35:00]"/>
  </r>
  <r>
    <s v="3640216-1458747115-101"/>
    <s v="Spot"/>
    <s v="3640216-1458747115-101"/>
    <n v="0"/>
    <d v="2016-03-31T00:00:00"/>
    <x v="105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40216-1458747115-101] [23/03/2016 at 15:31:00]"/>
  </r>
  <r>
    <s v="3640132-1458747074-224"/>
    <s v="Spot"/>
    <s v="3640132-1458747074-224"/>
    <n v="0"/>
    <d v="2016-03-31T00:00:00"/>
    <x v="106"/>
    <s v="224"/>
    <s v="SELL"/>
    <n v="9.9662755243462993"/>
    <x v="0"/>
    <x v="1"/>
    <n v="1078.6500000000001"/>
    <s v="Deal"/>
    <m/>
    <s v="Original Amount [EUR 108.23], Merchant Amount [EUR 108.23], Customer Amount [NOK 1078.65], Status [APPROVED], Operation [DIRECT], UUID [3640132-1458747074-224] [23/03/2016 at 15:31:00]"/>
  </r>
  <r>
    <s v="3640108-1458747057-161"/>
    <s v="Spot"/>
    <s v="3640108-1458747057-161"/>
    <n v="0"/>
    <d v="2016-03-31T00:00:00"/>
    <x v="107"/>
    <s v="161"/>
    <s v="SELL"/>
    <n v="1.5592135345221765"/>
    <x v="0"/>
    <x v="5"/>
    <n v="34.1"/>
    <s v="Deal"/>
    <m/>
    <s v="Original Amount [EUR 21.87], Merchant Amount [EUR 21.87], Customer Amount [AUD 34.1], Status [APPROVED], Operation [STORED], UUID [3640108-1458747057-161] [23/03/2016 at 15:30:00]"/>
  </r>
  <r>
    <s v="3640102-1458747052-145"/>
    <s v="Spot"/>
    <s v="3640102-1458747052-145"/>
    <n v="0"/>
    <d v="2016-03-31T00:00:00"/>
    <x v="108"/>
    <s v="145"/>
    <s v="SELL"/>
    <n v="9.96642626212385"/>
    <x v="0"/>
    <x v="1"/>
    <n v="400.75"/>
    <s v="Deal"/>
    <m/>
    <s v="Original Amount [EUR 40.21], Merchant Amount [EUR 40.21], Customer Amount [NOK 400.75], Status [APPROVED], Operation [DIRECT], UUID [3640102-1458747052-145] [23/03/2016 at 15:30:00]"/>
  </r>
  <r>
    <s v="3640114-1458747059-203"/>
    <s v="Spot"/>
    <s v="3640114-1458747059-203"/>
    <n v="0"/>
    <d v="2016-03-31T00:00:00"/>
    <x v="109"/>
    <s v="203"/>
    <s v="SELL"/>
    <n v="3.3919877998709596"/>
    <x v="0"/>
    <x v="0"/>
    <n v="578.29999999999995"/>
    <s v="Deal"/>
    <m/>
    <s v="Original Amount [EUR 170.49], Merchant Amount [EUR 170.49], Customer Amount [TRY 578.3], Status [APPROVED], Operation [3DAUTH], UUID [3640114-1458747059-203] [23/03/2016 at 15:30:00]"/>
  </r>
  <r>
    <s v="3640072-1458747036-171"/>
    <s v="Spot"/>
    <s v="3640072-1458747036-171"/>
    <n v="0"/>
    <d v="2016-03-31T00:00:00"/>
    <x v="110"/>
    <s v="171"/>
    <s v="SELL"/>
    <n v="9.966333333333333"/>
    <x v="0"/>
    <x v="1"/>
    <n v="597.98"/>
    <s v="Deal"/>
    <m/>
    <s v="Original Amount [EUR 60], Merchant Amount [EUR 60], Customer Amount [NOK 597.98], Status [APPROVED], Operation [DIRECT], UUID [3640072-1458747036-171] [23/03/2016 at 15:30:00]"/>
  </r>
  <r>
    <s v="3640066-1458747033-261"/>
    <s v="Spot"/>
    <s v="3640066-1458747033-261"/>
    <n v="0"/>
    <d v="2016-03-31T00:00:00"/>
    <x v="111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40066-1458747033-261] [23/03/2016 at 15:30:00]"/>
  </r>
  <r>
    <s v="3640048-1458747021-56"/>
    <s v="Spot"/>
    <s v="3640048-1458747021-56"/>
    <n v="0"/>
    <d v="2016-03-31T00:00:00"/>
    <x v="112"/>
    <s v="56"/>
    <s v="SELL"/>
    <n v="3.3921568627450975"/>
    <x v="0"/>
    <x v="0"/>
    <n v="108.99"/>
    <s v="Deal"/>
    <m/>
    <s v="Original Amount [EUR 32.13], Merchant Amount [EUR 32.13], Customer Amount [TRY 108.99], Status [WAITING], Operation [3D], UUID [3640048-1458747021-56] [23/03/2016 at 15:30:00]"/>
  </r>
  <r>
    <s v="3640042-1458747017-161"/>
    <s v="Spot"/>
    <s v="3640042-1458747017-161"/>
    <n v="0"/>
    <d v="2016-03-31T00:00:00"/>
    <x v="113"/>
    <s v="161"/>
    <s v="SELL"/>
    <n v="1.7601961487860303"/>
    <x v="0"/>
    <x v="6"/>
    <n v="147.16999999999999"/>
    <s v="Deal"/>
    <m/>
    <s v="Original Amount [EUR 83.61], Merchant Amount [EUR 83.61], Customer Amount [NZD 147.17], Status [APPROVED], Operation [STORED], UUID [3640042-1458747017-161] [23/03/2016 at 15:30:00]"/>
  </r>
  <r>
    <s v="3640156-1458747083-107"/>
    <s v="Spot"/>
    <s v="3640156-1458747083-107"/>
    <n v="0"/>
    <d v="2016-03-31T00:00:00"/>
    <x v="114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40156-1458747083-107] [23/03/2016 at 15:31:00]"/>
  </r>
  <r>
    <s v="3640024-1458747010-145"/>
    <s v="Spot"/>
    <s v="3640024-1458747010-145"/>
    <n v="0"/>
    <d v="2016-03-31T00:00:00"/>
    <x v="115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40024-1458747010-145] [23/03/2016 at 15:30:00]"/>
  </r>
  <r>
    <s v="3640015-1458747007-119"/>
    <s v="Spot"/>
    <s v="3640015-1458747007-119"/>
    <n v="0"/>
    <d v="2016-03-31T00:00:00"/>
    <x v="11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40015-1458747007-119] [23/03/2016 at 15:30:00]"/>
  </r>
  <r>
    <s v="3640006-1458747002-145"/>
    <s v="Spot"/>
    <s v="3640006-1458747002-145"/>
    <n v="0"/>
    <d v="2016-03-31T00:00:00"/>
    <x v="117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40006-1458747002-145] [23/03/2016 at 15:30:00]"/>
  </r>
  <r>
    <s v="3640000-1458746988-199"/>
    <s v="Spot"/>
    <s v="3640000-1458746988-199"/>
    <n v="0"/>
    <d v="2016-03-31T00:00:00"/>
    <x v="11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40000-1458746988-199] [23/03/2016 at 15:29:00]"/>
  </r>
  <r>
    <s v="3639991-1458746979-119"/>
    <s v="Spot"/>
    <s v="3639991-1458746979-119"/>
    <n v="0"/>
    <d v="2016-03-31T00:00:00"/>
    <x v="119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9991-1458746979-119] [23/03/2016 at 15:29:00]"/>
  </r>
  <r>
    <s v="3639982-1458746969-261"/>
    <s v="Spot"/>
    <s v="3639982-1458746969-261"/>
    <n v="0"/>
    <d v="2016-03-31T00:00:00"/>
    <x v="120"/>
    <s v="261"/>
    <s v="SELL"/>
    <n v="9.966285406311755"/>
    <x v="0"/>
    <x v="1"/>
    <n v="3328.54"/>
    <s v="Deal"/>
    <m/>
    <s v="Original Amount [EUR 333.98], Merchant Amount [EUR 333.98], Customer Amount [NOK 3328.54], Status [APPROVED], Operation [DIRECT], UUID [3639982-1458746969-261] [23/03/2016 at 15:29:00]"/>
  </r>
  <r>
    <s v="3639979-1458746968-187"/>
    <s v="Spot"/>
    <s v="3639979-1458746968-187"/>
    <n v="0"/>
    <d v="2016-03-31T00:00:00"/>
    <x v="121"/>
    <s v="187"/>
    <s v="SELL"/>
    <n v="9.9666036546943921"/>
    <x v="0"/>
    <x v="1"/>
    <n v="158.16999999999999"/>
    <s v="Deal"/>
    <m/>
    <s v="Original Amount [EUR 15.87], Merchant Amount [EUR 15.87], Customer Amount [NOK 158.17], Status [APPROVED], Operation [DIRECT], UUID [3639979-1458746968-187] [23/03/2016 at 15:29:00]"/>
  </r>
  <r>
    <s v="3639976-1458746966-145"/>
    <s v="Spot"/>
    <s v="3639976-1458746966-145"/>
    <n v="0"/>
    <d v="2016-03-31T00:00:00"/>
    <x v="122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9976-1458746966-145] [23/03/2016 at 15:29:00]"/>
  </r>
  <r>
    <s v="3639952-1458746926-224"/>
    <s v="Spot"/>
    <s v="3639952-1458746926-224"/>
    <n v="0"/>
    <d v="2016-03-31T00:00:00"/>
    <x v="123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9952-1458746926-224] [23/03/2016 at 15:28:00]"/>
  </r>
  <r>
    <s v="3639964-1458746954-216"/>
    <s v="Spot"/>
    <s v="3639964-1458746954-216"/>
    <n v="0"/>
    <d v="2016-03-31T00:00:00"/>
    <x v="124"/>
    <s v="216"/>
    <s v="SELL"/>
    <n v="3.3956326268464996"/>
    <x v="0"/>
    <x v="0"/>
    <n v="52.87"/>
    <s v="Deal"/>
    <m/>
    <s v="Original Amount [EUR 15.57], Merchant Amount [EUR 15.57], Customer Amount [TRY 52.87], Status [APPROVED], Operation [3DAUTH], UUID [3639964-1458746954-216] [23/03/2016 at 15:29:00]"/>
  </r>
  <r>
    <s v="3639934-1458746898-125"/>
    <s v="Spot"/>
    <s v="3639934-1458746898-125"/>
    <n v="0"/>
    <d v="2016-03-31T00:00:00"/>
    <x v="125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9934-1458746898-125] [23/03/2016 at 15:28:00]"/>
  </r>
  <r>
    <s v="3639955-1458746937-107"/>
    <s v="Spot"/>
    <s v="3639955-1458746937-107"/>
    <n v="0"/>
    <d v="2016-03-31T00:00:00"/>
    <x v="126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9955-1458746937-107] [23/03/2016 at 15:28:00]"/>
  </r>
  <r>
    <s v="3639940-1458746906-216"/>
    <s v="Spot"/>
    <s v="3639940-1458746906-216"/>
    <n v="0"/>
    <d v="2016-03-31T00:00:00"/>
    <x v="127"/>
    <s v="216"/>
    <s v="SELL"/>
    <n v="3.3955375253549698"/>
    <x v="0"/>
    <x v="0"/>
    <n v="50.22"/>
    <s v="Deal"/>
    <m/>
    <s v="Original Amount [EUR 14.79], Merchant Amount [EUR 14.79], Customer Amount [TRY 50.22], Status [APPROVED], Operation [3DAUTH], UUID [3639940-1458746906-216] [23/03/2016 at 15:28:00]"/>
  </r>
  <r>
    <s v="3639910-1458746859-224"/>
    <s v="Spot"/>
    <s v="3639910-1458746859-224"/>
    <n v="0"/>
    <d v="2016-03-31T00:00:00"/>
    <x v="128"/>
    <s v="224"/>
    <s v="SELL"/>
    <n v="9.9662739662739668"/>
    <x v="0"/>
    <x v="1"/>
    <n v="862.88"/>
    <s v="Deal"/>
    <m/>
    <s v="Original Amount [EUR 86.58], Merchant Amount [EUR 86.58], Customer Amount [NOK 862.88], Status [APPROVED], Operation [DIRECT], UUID [3639910-1458746859-224] [23/03/2016 at 15:27:00]"/>
  </r>
  <r>
    <s v="3639961-1458746942-101"/>
    <s v="Spot"/>
    <s v="3639961-1458746942-101"/>
    <n v="0"/>
    <d v="2016-03-31T00:00:00"/>
    <x v="129"/>
    <s v="101"/>
    <s v="SELL"/>
    <n v="3.3955739972337482"/>
    <x v="0"/>
    <x v="0"/>
    <n v="49.1"/>
    <s v="Deal"/>
    <m/>
    <s v="Original Amount [EUR 14.46], Merchant Amount [EUR 14.46], Customer Amount [TRY 49.1], Status [APPROVED], Operation [3DAUTH], UUID [3639961-1458746942-101] [23/03/2016 at 15:29:00]"/>
  </r>
  <r>
    <s v="3639901-1458746852-216"/>
    <s v="Spot"/>
    <s v="3639901-1458746852-216"/>
    <n v="0"/>
    <d v="2016-03-31T00:00:00"/>
    <x v="130"/>
    <s v="216"/>
    <s v="SELL"/>
    <n v="3.3953177257525082"/>
    <x v="0"/>
    <x v="0"/>
    <n v="50.76"/>
    <s v="Deal"/>
    <m/>
    <s v="Original Amount [EUR 14.95], Merchant Amount [EUR 14.95], Customer Amount [TRY 50.76], Status [WAITING], Operation [3D], UUID [3639901-1458746852-216] [23/03/2016 at 15:27:00]"/>
  </r>
  <r>
    <s v="3639892-1458746822-82"/>
    <s v="Spot"/>
    <s v="3639892-1458746822-82"/>
    <n v="0"/>
    <d v="2016-03-31T00:00:00"/>
    <x v="131"/>
    <s v="82"/>
    <s v="SELL"/>
    <n v="1.1842105263157894"/>
    <x v="0"/>
    <x v="7"/>
    <n v="13.95"/>
    <s v="Deal"/>
    <m/>
    <s v="Original Amount [USD 13.95], Merchant Amount [EUR 11.78], Customer Amount [USD 13.95], Status [APPROVED], Operation [STORED], UUID [3639892-1458746822-82] [23/03/2016 at 15:27:00]"/>
  </r>
  <r>
    <s v="3639895-1458746822-224"/>
    <s v="Spot"/>
    <s v="3639895-1458746822-224"/>
    <n v="0"/>
    <d v="2016-03-31T00:00:00"/>
    <x v="13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9895-1458746822-224] [23/03/2016 at 15:27:00]"/>
  </r>
  <r>
    <s v="3639886-1458746820-241"/>
    <s v="Spot"/>
    <s v="3639886-1458746820-241"/>
    <n v="0"/>
    <d v="2016-03-31T00:00:00"/>
    <x v="133"/>
    <s v="241"/>
    <s v="SELL"/>
    <n v="0.83263157894736839"/>
    <x v="0"/>
    <x v="4"/>
    <n v="31.64"/>
    <s v="Deal"/>
    <m/>
    <s v="Original Amount [EUR 38], Merchant Amount [EUR 38], Customer Amount [GBP 31.64], Status [APPROVED], Operation [DIRECT], UUID [3639886-1458746820-241] [23/03/2016 at 15:27:00]"/>
  </r>
  <r>
    <s v="3639874-1458746799-119"/>
    <s v="Spot"/>
    <s v="3639874-1458746799-119"/>
    <n v="0"/>
    <d v="2016-03-31T00:00:00"/>
    <x v="134"/>
    <s v="119"/>
    <s v="SELL"/>
    <n v="9.9756"/>
    <x v="0"/>
    <x v="1"/>
    <n v="249.39"/>
    <s v="Deal"/>
    <m/>
    <s v="Original Amount [EUR 25], Merchant Amount [EUR 25], Customer Amount [NOK 249.39], Status [APPROVED], Operation [DIRECT], UUID [3639874-1458746799-119] [23/03/2016 at 15:26:00]"/>
  </r>
  <r>
    <s v="3639871-1458746798-124"/>
    <s v="Spot"/>
    <s v="3639871-1458746798-124"/>
    <n v="0"/>
    <d v="2016-03-31T00:00:00"/>
    <x v="135"/>
    <s v="124"/>
    <s v="SELL"/>
    <n v="9.9754427390791012"/>
    <x v="0"/>
    <x v="1"/>
    <n v="422.46"/>
    <s v="Deal"/>
    <m/>
    <s v="Original Amount [EUR 42.35], Merchant Amount [EUR 42.35], Customer Amount [NOK 422.46], Status [APPROVED], Operation [DIRECT], UUID [3639871-1458746798-124] [23/03/2016 at 15:26:00]"/>
  </r>
  <r>
    <s v="3639865-1458746783-119"/>
    <s v="Spot"/>
    <s v="3639865-1458746783-119"/>
    <n v="0"/>
    <d v="2016-03-31T00:00:00"/>
    <x v="136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865-1458746783-119] [23/03/2016 at 15:26:00]"/>
  </r>
  <r>
    <s v="3639868-1458746795-56"/>
    <s v="Spot"/>
    <s v="3639868-1458746795-56"/>
    <n v="0"/>
    <d v="2016-03-31T00:00:00"/>
    <x v="137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868-1458746795-56] [23/03/2016 at 15:26:00]"/>
  </r>
  <r>
    <s v="3639856-1458746761-171"/>
    <s v="Spot"/>
    <s v="3639856-1458746761-171"/>
    <n v="0"/>
    <d v="2016-03-31T00:00:00"/>
    <x v="138"/>
    <s v="171"/>
    <s v="SELL"/>
    <n v="1.5447870778267254"/>
    <x v="0"/>
    <x v="2"/>
    <n v="10.52"/>
    <s v="Deal"/>
    <m/>
    <s v="Original Amount [EUR 6.81], Merchant Amount [EUR 6.81], Customer Amount [CAD 10.52], Status [APPROVED], Operation [DIRECT], UUID [3639856-1458746761-171] [23/03/2016 at 15:26:00]"/>
  </r>
  <r>
    <s v="3639862-1458746775-126"/>
    <s v="Spot"/>
    <s v="3639862-1458746775-126"/>
    <n v="0"/>
    <d v="2016-03-31T00:00:00"/>
    <x v="139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862-1458746775-126] [23/03/2016 at 15:26:00]"/>
  </r>
  <r>
    <s v="3639826-1458746725-200"/>
    <s v="Spot"/>
    <s v="3639826-1458746725-200"/>
    <n v="0"/>
    <d v="2016-03-31T00:00:00"/>
    <x v="140"/>
    <s v="200"/>
    <s v="SELL"/>
    <n v="9.9756666666666653"/>
    <x v="0"/>
    <x v="1"/>
    <n v="299.27"/>
    <s v="Deal"/>
    <m/>
    <s v="Original Amount [EUR 30], Merchant Amount [EUR 30], Customer Amount [NOK 299.27], Status [APPROVED], Operation [STORED], UUID [3639826-1458746725-200] [23/03/2016 at 15:25:00]"/>
  </r>
  <r>
    <s v="3639823-1458746723-224"/>
    <s v="Spot"/>
    <s v="3639823-1458746723-224"/>
    <n v="0"/>
    <d v="2016-03-31T00:00:00"/>
    <x v="141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823-1458746723-224] [23/03/2016 at 15:25:00]"/>
  </r>
  <r>
    <s v="3639820-1458746716-264"/>
    <s v="Spot"/>
    <s v="3639820-1458746716-264"/>
    <n v="0"/>
    <d v="2016-03-31T00:00:00"/>
    <x v="142"/>
    <s v="264"/>
    <s v="SELL"/>
    <n v="3.3907307171853858"/>
    <x v="0"/>
    <x v="0"/>
    <n v="100.23"/>
    <s v="Deal"/>
    <m/>
    <s v="Original Amount [TRY 95], Merchant Amount [EUR 29.56], Customer Amount [TRY 100.23], Status [WAITING], Operation [3D], UUID [3639820-1458746716-264] [23/03/2016 at 15:25:00]"/>
  </r>
  <r>
    <s v="3639844-1458746743-212"/>
    <s v="Spot"/>
    <s v="3639844-1458746743-212"/>
    <n v="0"/>
    <d v="2016-03-31T00:00:00"/>
    <x v="143"/>
    <s v="212"/>
    <s v="SELL"/>
    <n v="0.83260739602015532"/>
    <x v="0"/>
    <x v="4"/>
    <n v="97.49"/>
    <s v="Deal"/>
    <m/>
    <s v="Original Amount [EUR 117.09], Merchant Amount [EUR 117.09], Customer Amount [GBP 97.49], Status [APPROVED], Operation [3DAUTH], UUID [3639844-1458746743-212] [23/03/2016 at 15:25:00]"/>
  </r>
  <r>
    <s v="3639808-1458746699-119"/>
    <s v="Spot"/>
    <s v="3639808-1458746699-119"/>
    <n v="0"/>
    <d v="2016-03-31T00:00:00"/>
    <x v="144"/>
    <s v="119"/>
    <s v="SELL"/>
    <n v="9.9756"/>
    <x v="0"/>
    <x v="1"/>
    <n v="249.39"/>
    <s v="Deal"/>
    <m/>
    <s v="Original Amount [EUR 25], Merchant Amount [EUR 25], Customer Amount [NOK 249.39], Status [APPROVED], Operation [DIRECT], UUID [3639808-1458746699-119] [23/03/2016 at 15:24:00]"/>
  </r>
  <r>
    <s v="3639802-1458746685-216"/>
    <s v="Spot"/>
    <s v="3639802-1458746685-216"/>
    <n v="0"/>
    <d v="2016-03-31T00:00:00"/>
    <x v="145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802-1458746685-216] [23/03/2016 at 15:24:00]"/>
  </r>
  <r>
    <s v="3639799-1458746678-125"/>
    <s v="Spot"/>
    <s v="3639799-1458746678-125"/>
    <n v="0"/>
    <d v="2016-03-31T00:00:00"/>
    <x v="146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9799-1458746678-125] [23/03/2016 at 15:24:00]"/>
  </r>
  <r>
    <s v="3639796-1458746676-119"/>
    <s v="Spot"/>
    <s v="3639796-1458746676-119"/>
    <n v="0"/>
    <d v="2016-03-31T00:00:00"/>
    <x v="147"/>
    <s v="119"/>
    <s v="SELL"/>
    <n v="9.9756"/>
    <x v="0"/>
    <x v="1"/>
    <n v="249.39"/>
    <s v="Deal"/>
    <m/>
    <s v="Original Amount [EUR 25], Merchant Amount [EUR 25], Customer Amount [NOK 249.39], Status [APPROVED], Operation [DIRECT], UUID [3639796-1458746676-119] [23/03/2016 at 15:24:00]"/>
  </r>
  <r>
    <s v="3639805-1458746687-160"/>
    <s v="Spot"/>
    <s v="3639805-1458746687-160"/>
    <n v="0"/>
    <d v="2016-03-31T00:00:00"/>
    <x v="148"/>
    <s v="160"/>
    <s v="SELL"/>
    <n v="0.83322601416613007"/>
    <x v="0"/>
    <x v="4"/>
    <n v="12.94"/>
    <s v="Deal"/>
    <m/>
    <s v="Original Amount [EUR 15.53], Merchant Amount [EUR 15.53], Customer Amount [GBP 12.94], Status [APPROVED], Operation [3DAUTH], UUID [3639805-1458746687-160] [23/03/2016 at 15:24:00]"/>
  </r>
  <r>
    <s v="3639781-1458746645-224"/>
    <s v="Spot"/>
    <s v="3639781-1458746645-224"/>
    <n v="0"/>
    <d v="2016-03-31T00:00:00"/>
    <x v="149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781-1458746645-224] [23/03/2016 at 15:24:00]"/>
  </r>
  <r>
    <s v="3639772-1458746631-119"/>
    <s v="Spot"/>
    <s v="3639772-1458746631-119"/>
    <n v="0"/>
    <d v="2016-03-31T00:00:00"/>
    <x v="15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772-1458746631-119] [23/03/2016 at 15:23:00]"/>
  </r>
  <r>
    <s v="3639760-1458746620-224"/>
    <s v="Spot"/>
    <s v="3639760-1458746620-224"/>
    <n v="0"/>
    <d v="2016-03-31T00:00:00"/>
    <x v="151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9760-1458746620-224] [23/03/2016 at 15:23:00]"/>
  </r>
  <r>
    <s v="3639757-1458746618-224"/>
    <s v="Spot"/>
    <s v="3639757-1458746618-224"/>
    <n v="0"/>
    <d v="2016-03-31T00:00:00"/>
    <x v="152"/>
    <s v="224"/>
    <s v="SELL"/>
    <n v="132.99339410754393"/>
    <x v="0"/>
    <x v="3"/>
    <n v="10066.27"/>
    <s v="Deal"/>
    <m/>
    <s v="Original Amount [EUR 75.69], Merchant Amount [EUR 75.69], Customer Amount [JPY 10066.27], Status [APPROVED], Operation [DIRECT], UUID [3639757-1458746618-224] [23/03/2016 at 15:23:00]"/>
  </r>
  <r>
    <s v="3639754-1458746617-82"/>
    <s v="Spot"/>
    <s v="3639754-1458746617-82"/>
    <n v="0"/>
    <d v="2016-03-31T00:00:00"/>
    <x v="15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754-1458746617-82] [23/03/2016 at 15:23:00]"/>
  </r>
  <r>
    <s v="3639787-1458746665-126"/>
    <s v="Spot"/>
    <s v="3639787-1458746665-126"/>
    <n v="0"/>
    <d v="2016-03-31T00:00:00"/>
    <x v="154"/>
    <s v="126"/>
    <s v="SELL"/>
    <n v="9.9506341463414643"/>
    <x v="0"/>
    <x v="1"/>
    <n v="1019.94"/>
    <s v="Deal"/>
    <m/>
    <s v="Original Amount [EUR 102.5], Merchant Amount [EUR 102.5], Customer Amount [NOK 1019.94], Status [APPROVED], Operation [3DAUTH], UUID [3639787-1458746665-126] [23/03/2016 at 15:24:00]"/>
  </r>
  <r>
    <s v="3639763-1458746621-56"/>
    <s v="Spot"/>
    <s v="3639763-1458746621-56"/>
    <n v="0"/>
    <d v="2016-03-31T00:00:00"/>
    <x v="155"/>
    <s v="56"/>
    <s v="SELL"/>
    <n v="3.3883268482490272"/>
    <x v="0"/>
    <x v="0"/>
    <n v="43.54"/>
    <s v="Deal"/>
    <m/>
    <s v="Original Amount [EUR 12.85], Merchant Amount [EUR 12.85], Customer Amount [TRY 43.54], Status [APPROVED], Operation [3DAUTH], UUID [3639763-1458746621-56] [23/03/2016 at 15:23:00]"/>
  </r>
  <r>
    <s v="3639766-1458746625-216"/>
    <s v="Spot"/>
    <s v="3639766-1458746625-216"/>
    <n v="0"/>
    <d v="2016-03-31T00:00:00"/>
    <x v="156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66-1458746625-216] [23/03/2016 at 15:23:00]"/>
  </r>
  <r>
    <s v="3639742-1458746588-216"/>
    <s v="Spot"/>
    <s v="3639742-1458746588-216"/>
    <n v="0"/>
    <d v="2016-03-31T00:00:00"/>
    <x v="157"/>
    <s v="216"/>
    <s v="SELL"/>
    <n v="3.3880733944954127"/>
    <x v="0"/>
    <x v="0"/>
    <n v="36.93"/>
    <s v="Deal"/>
    <m/>
    <s v="Original Amount [EUR 10.9], Merchant Amount [EUR 10.9], Customer Amount [TRY 36.93], Status [APPROVED], Operation [3DAUTH], UUID [3639742-1458746588-216] [23/03/2016 at 15:23:00]"/>
  </r>
  <r>
    <s v="3639739-1458746587-216"/>
    <s v="Spot"/>
    <s v="3639739-1458746587-216"/>
    <n v="0"/>
    <d v="2016-03-31T00:00:00"/>
    <x v="158"/>
    <s v="216"/>
    <s v="SELL"/>
    <n v="3.3879254977520872"/>
    <x v="0"/>
    <x v="0"/>
    <n v="52.75"/>
    <s v="Deal"/>
    <m/>
    <s v="Original Amount [EUR 15.57], Merchant Amount [EUR 15.57], Customer Amount [TRY 52.75], Status [APPROVED], Operation [3DAUTH], UUID [3639739-1458746587-216] [23/03/2016 at 15:23:00]"/>
  </r>
  <r>
    <s v="3639691-1458746531-224"/>
    <s v="Spot"/>
    <s v="3639691-1458746531-224"/>
    <n v="0"/>
    <d v="2016-03-31T00:00:00"/>
    <x v="159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9691-1458746531-224] [23/03/2016 at 15:22:00]"/>
  </r>
  <r>
    <s v="3639733-1458746584-56"/>
    <s v="Spot"/>
    <s v="3639733-1458746584-56"/>
    <n v="0"/>
    <d v="2016-03-31T00:00:00"/>
    <x v="160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9733-1458746584-56] [23/03/2016 at 15:23:00]"/>
  </r>
  <r>
    <s v="3639715-1458746561-162"/>
    <s v="Spot"/>
    <s v="3639715-1458746561-162"/>
    <n v="0"/>
    <d v="2016-03-31T00:00:00"/>
    <x v="161"/>
    <s v="162"/>
    <s v="SELL"/>
    <n v="3.3879254977520872"/>
    <x v="0"/>
    <x v="0"/>
    <n v="52.75"/>
    <s v="Deal"/>
    <m/>
    <s v="Original Amount [EUR 15.57], Merchant Amount [EUR 15.57], Customer Amount [TRY 52.75], Status [APPROVED], Operation [3DAUTH], UUID [3639715-1458746561-162] [23/03/2016 at 15:22:00]"/>
  </r>
  <r>
    <s v="3639673-1458746508-224"/>
    <s v="Spot"/>
    <s v="3639673-1458746508-224"/>
    <n v="0"/>
    <d v="2016-03-31T00:00:00"/>
    <x v="162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9673-1458746508-224] [23/03/2016 at 15:21:00]"/>
  </r>
  <r>
    <s v="3639661-1458746478-187"/>
    <s v="Spot"/>
    <s v="3639661-1458746478-187"/>
    <n v="0"/>
    <d v="2016-03-31T00:00:00"/>
    <x v="163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9661-1458746478-187] [23/03/2016 at 15:21:00]"/>
  </r>
  <r>
    <s v="3639652-1458746463-119"/>
    <s v="Spot"/>
    <s v="3639652-1458746463-119"/>
    <n v="0"/>
    <d v="2016-03-31T00:00:00"/>
    <x v="164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9652-1458746463-119] [23/03/2016 at 15:21:00]"/>
  </r>
  <r>
    <s v="3639649-1458746460-126"/>
    <s v="Spot"/>
    <s v="3639649-1458746460-126"/>
    <n v="0"/>
    <d v="2016-03-31T00:00:00"/>
    <x v="16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649-1458746460-126] [23/03/2016 at 15:21:00]"/>
  </r>
  <r>
    <s v="3639646-1458746460-119"/>
    <s v="Spot"/>
    <s v="3639646-1458746460-119"/>
    <n v="0"/>
    <d v="2016-03-31T00:00:00"/>
    <x v="166"/>
    <s v="119"/>
    <s v="SELL"/>
    <n v="9.9756"/>
    <x v="0"/>
    <x v="1"/>
    <n v="249.39"/>
    <s v="Deal"/>
    <m/>
    <s v="Original Amount [EUR 25], Merchant Amount [EUR 25], Customer Amount [NOK 249.39], Status [APPROVED], Operation [DIRECT], UUID [3639646-1458746460-119] [23/03/2016 at 15:21:00]"/>
  </r>
  <r>
    <s v="3639631-1458746446-187"/>
    <s v="Spot"/>
    <s v="3639631-1458746446-187"/>
    <n v="0"/>
    <d v="2016-03-31T00:00:00"/>
    <x v="167"/>
    <s v="187"/>
    <s v="SELL"/>
    <n v="9.9753745805170855"/>
    <x v="0"/>
    <x v="1"/>
    <n v="2110.4899999999998"/>
    <s v="Deal"/>
    <m/>
    <s v="Original Amount [EUR 211.57], Merchant Amount [EUR 211.57], Customer Amount [NOK 2110.49], Status [APPROVED], Operation [DIRECT], UUID [3639631-1458746446-187] [23/03/2016 at 15:20:00]"/>
  </r>
  <r>
    <s v="3639625-1458746441-261"/>
    <s v="Spot"/>
    <s v="3639625-1458746441-261"/>
    <n v="0"/>
    <d v="2016-03-31T00:00:00"/>
    <x v="168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9625-1458746441-261] [23/03/2016 at 15:20:00]"/>
  </r>
  <r>
    <s v="3639622-1458746437-82"/>
    <s v="Spot"/>
    <s v="3639622-1458746437-82"/>
    <n v="0"/>
    <d v="2016-03-31T00:00:00"/>
    <x v="169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22-1458746437-82] [23/03/2016 at 15:20:00]"/>
  </r>
  <r>
    <s v="3639616-1458746427-82"/>
    <s v="Spot"/>
    <s v="3639616-1458746427-82"/>
    <n v="0"/>
    <d v="2016-03-31T00:00:00"/>
    <x v="170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16-1458746427-82] [23/03/2016 at 15:20:00]"/>
  </r>
  <r>
    <s v="3639643-1458746457-216"/>
    <s v="Spot"/>
    <s v="3639643-1458746457-216"/>
    <n v="0"/>
    <d v="2016-03-31T00:00:00"/>
    <x v="171"/>
    <s v="216"/>
    <s v="SELL"/>
    <n v="3.3921232876712328"/>
    <x v="0"/>
    <x v="0"/>
    <n v="39.619999999999997"/>
    <s v="Deal"/>
    <m/>
    <s v="Original Amount [EUR 11.68], Merchant Amount [EUR 11.68], Customer Amount [TRY 39.62], Status [APPROVED], Operation [3DAUTH], UUID [3639643-1458746457-216] [23/03/2016 at 15:20:00]"/>
  </r>
  <r>
    <s v="3639607-1458746418-224"/>
    <s v="Spot"/>
    <s v="3639607-1458746418-224"/>
    <n v="0"/>
    <d v="2016-03-31T00:00:00"/>
    <x v="172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9607-1458746418-224] [23/03/2016 at 15:20:00]"/>
  </r>
  <r>
    <s v="3639604-1458746415-82"/>
    <s v="Spot"/>
    <s v="3639604-1458746415-82"/>
    <n v="0"/>
    <d v="2016-03-31T00:00:00"/>
    <x v="17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9604-1458746415-82] [23/03/2016 at 15:20:00]"/>
  </r>
  <r>
    <s v="3639592-1458746406-101"/>
    <s v="Spot"/>
    <s v="3639592-1458746406-101"/>
    <n v="0"/>
    <d v="2016-03-31T00:00:00"/>
    <x v="174"/>
    <s v="101"/>
    <s v="SELL"/>
    <n v="3.3922789539227898"/>
    <x v="0"/>
    <x v="0"/>
    <n v="27.24"/>
    <s v="Deal"/>
    <m/>
    <s v="Original Amount [EUR 8.03], Merchant Amount [EUR 8.03], Customer Amount [TRY 27.24], Status [WAITING], Operation [3D], UUID [3639592-1458746406-101] [23/03/2016 at 15:20:00]"/>
  </r>
  <r>
    <s v="3639634-1458746447-216"/>
    <s v="Spot"/>
    <s v="3639634-1458746447-216"/>
    <n v="0"/>
    <d v="2016-03-31T00:00:00"/>
    <x v="175"/>
    <s v="216"/>
    <s v="SELL"/>
    <n v="3.3919578622816027"/>
    <x v="0"/>
    <x v="0"/>
    <n v="528.05999999999995"/>
    <s v="Deal"/>
    <m/>
    <s v="Original Amount [EUR 155.68], Merchant Amount [EUR 155.68], Customer Amount [TRY 528.06], Status [APPROVED], Operation [3DAUTH], UUID [3639634-1458746447-216] [23/03/2016 at 15:20:00]"/>
  </r>
  <r>
    <s v="3639610-1458746421-56"/>
    <s v="Spot"/>
    <s v="3639610-1458746421-56"/>
    <n v="0"/>
    <d v="2016-03-31T00:00:00"/>
    <x v="176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9610-1458746421-56] [23/03/2016 at 15:20:00]"/>
  </r>
  <r>
    <s v="3639574-1458746393-134"/>
    <s v="Spot"/>
    <s v="3639574-1458746393-134"/>
    <n v="0"/>
    <d v="2016-03-31T00:00:00"/>
    <x v="177"/>
    <s v="134"/>
    <s v="SELL"/>
    <n v="132.99355381165918"/>
    <x v="0"/>
    <x v="3"/>
    <n v="4745.21"/>
    <s v="Deal"/>
    <m/>
    <s v="Original Amount [EUR 35.68], Merchant Amount [EUR 35.68], Customer Amount [JPY 4745.21], Status [APPROVED], Operation [DIRECT], UUID [3639574-1458746393-134] [23/03/2016 at 15:19:00]"/>
  </r>
  <r>
    <s v="3639583-1458746396-101"/>
    <s v="Spot"/>
    <s v="3639583-1458746396-101"/>
    <n v="0"/>
    <d v="2016-03-31T00:00:00"/>
    <x v="178"/>
    <s v="101"/>
    <s v="SELL"/>
    <n v="3.3919484702093401"/>
    <x v="0"/>
    <x v="0"/>
    <n v="526.6"/>
    <s v="Deal"/>
    <m/>
    <s v="Original Amount [EUR 155.25], Merchant Amount [EUR 155.25], Customer Amount [TRY 526.6], Status [APPROVED], Operation [3DAUTH], UUID [3639583-1458746396-101] [23/03/2016 at 15:19:00]"/>
  </r>
  <r>
    <s v="3639586-1458746397-150"/>
    <s v="Spot"/>
    <s v="3639586-1458746397-150"/>
    <n v="0"/>
    <d v="2016-03-31T00:00:00"/>
    <x v="179"/>
    <s v="150"/>
    <s v="SELL"/>
    <n v="3.3922691481746599"/>
    <x v="0"/>
    <x v="0"/>
    <n v="94.78"/>
    <s v="Deal"/>
    <m/>
    <s v="Original Amount [EUR 27.94], Merchant Amount [EUR 27.94], Customer Amount [TRY 94.78], Status [APPROVED], Operation [3DAUTH], UUID [3639586-1458746397-150] [23/03/2016 at 15:19:00]"/>
  </r>
  <r>
    <s v="3639538-1458746353-216"/>
    <s v="Spot"/>
    <s v="3639538-1458746353-216"/>
    <n v="0"/>
    <d v="2016-03-31T00:00:00"/>
    <x v="180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538-1458746353-216] [23/03/2016 at 15:19:00]"/>
  </r>
  <r>
    <s v="3639532-1458746345-171"/>
    <s v="Spot"/>
    <s v="3639532-1458746345-171"/>
    <n v="0"/>
    <d v="2016-03-31T00:00:00"/>
    <x v="181"/>
    <s v="171"/>
    <s v="SELL"/>
    <n v="1.5433186490455213"/>
    <x v="0"/>
    <x v="2"/>
    <n v="21.02"/>
    <s v="Deal"/>
    <m/>
    <s v="Original Amount [EUR 13.62], Merchant Amount [EUR 13.62], Customer Amount [CAD 21.02], Status [APPROVED], Operation [DIRECT], UUID [3639532-1458746345-171] [23/03/2016 at 15:19:00]"/>
  </r>
  <r>
    <s v="3639541-1458746355-203"/>
    <s v="Spot"/>
    <s v="3639541-1458746355-203"/>
    <n v="0"/>
    <d v="2016-03-31T00:00:00"/>
    <x v="182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9541-1458746355-203] [23/03/2016 at 15:19:00]"/>
  </r>
  <r>
    <s v="3639508-1458746319-199"/>
    <s v="Spot"/>
    <s v="3639508-1458746319-199"/>
    <n v="0"/>
    <d v="2016-03-31T00:00:00"/>
    <x v="18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9508-1458746319-199] [23/03/2016 at 15:18:00]"/>
  </r>
  <r>
    <s v="3639565-1458746381-56"/>
    <s v="Spot"/>
    <s v="3639565-1458746381-56"/>
    <n v="0"/>
    <d v="2016-03-31T00:00:00"/>
    <x v="184"/>
    <s v="56"/>
    <s v="SELL"/>
    <n v="3.3921161825726136"/>
    <x v="0"/>
    <x v="0"/>
    <n v="49.05"/>
    <s v="Deal"/>
    <m/>
    <s v="Original Amount [EUR 14.46], Merchant Amount [EUR 14.46], Customer Amount [TRY 49.05], Status [APPROVED], Operation [3DAUTH], UUID [3639565-1458746381-56] [23/03/2016 at 15:19:00]"/>
  </r>
  <r>
    <s v="3639556-1458746365-126"/>
    <s v="Spot"/>
    <s v="3639556-1458746365-126"/>
    <n v="0"/>
    <d v="2016-03-31T00:00:00"/>
    <x v="185"/>
    <s v="126"/>
    <s v="SELL"/>
    <n v="9.9756097560975618"/>
    <x v="0"/>
    <x v="1"/>
    <n v="204.5"/>
    <s v="Deal"/>
    <m/>
    <s v="Original Amount [EUR 20.5], Merchant Amount [EUR 20.5], Customer Amount [NOK 204.5], Status [APPROVED], Operation [3DAUTH], UUID [3639556-1458746365-126] [23/03/2016 at 15:19:00]"/>
  </r>
  <r>
    <s v="3639484-1458746301-224"/>
    <s v="Spot"/>
    <s v="3639484-1458746301-224"/>
    <n v="0"/>
    <d v="2016-03-31T00:00:00"/>
    <x v="186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9484-1458746301-224] [23/03/2016 at 15:18:00]"/>
  </r>
  <r>
    <s v="3639475-1458746290-216"/>
    <s v="Spot"/>
    <s v="3639475-1458746290-216"/>
    <n v="0"/>
    <d v="2016-03-31T00:00:00"/>
    <x v="187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75-1458746290-216] [23/03/2016 at 15:18:00]"/>
  </r>
  <r>
    <s v="3639499-1458746312-107"/>
    <s v="Spot"/>
    <s v="3639499-1458746312-107"/>
    <n v="0"/>
    <d v="2016-03-31T00:00:00"/>
    <x v="188"/>
    <s v="107"/>
    <s v="SELL"/>
    <n v="3.3919999999999999"/>
    <x v="0"/>
    <x v="0"/>
    <n v="169.6"/>
    <s v="Deal"/>
    <m/>
    <s v="Original Amount [EUR 50], Merchant Amount [EUR 50], Customer Amount [TRY 169.6], Status [APPROVED], Operation [3DAUTH], UUID [3639499-1458746312-107] [23/03/2016 at 15:18:00]"/>
  </r>
  <r>
    <s v="3639460-1458746271-119"/>
    <s v="Spot"/>
    <s v="3639460-1458746271-119"/>
    <n v="0"/>
    <d v="2016-03-31T00:00:00"/>
    <x v="189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60-1458746271-119] [23/03/2016 at 15:17:00]"/>
  </r>
  <r>
    <s v="3639457-1458746270-224"/>
    <s v="Spot"/>
    <s v="3639457-1458746270-224"/>
    <n v="0"/>
    <d v="2016-03-31T00:00:00"/>
    <x v="19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457-1458746270-224] [23/03/2016 at 15:17:00]"/>
  </r>
  <r>
    <s v="3639451-1458746265-216"/>
    <s v="Spot"/>
    <s v="3639451-1458746265-216"/>
    <n v="0"/>
    <d v="2016-03-31T00:00:00"/>
    <x v="19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39451-1458746265-216] [23/03/2016 at 15:17:00]"/>
  </r>
  <r>
    <s v="3639436-1458746249-119"/>
    <s v="Spot"/>
    <s v="3639436-1458746249-119"/>
    <n v="0"/>
    <d v="2016-03-31T00:00:00"/>
    <x v="192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36-1458746249-119] [23/03/2016 at 15:17:00]"/>
  </r>
  <r>
    <s v="3639424-1458746239-119"/>
    <s v="Spot"/>
    <s v="3639424-1458746239-119"/>
    <n v="0"/>
    <d v="2016-03-31T00:00:00"/>
    <x v="19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9424-1458746239-119] [23/03/2016 at 15:17:00]"/>
  </r>
  <r>
    <s v="3639466-1458746281-107"/>
    <s v="Spot"/>
    <s v="3639466-1458746281-107"/>
    <n v="0"/>
    <d v="2016-03-31T00:00:00"/>
    <x v="194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39466-1458746281-107] [23/03/2016 at 15:18:00]"/>
  </r>
  <r>
    <s v="3639412-1458746227-82"/>
    <s v="Spot"/>
    <s v="3639412-1458746227-82"/>
    <n v="0"/>
    <d v="2016-03-31T00:00:00"/>
    <x v="1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412-1458746227-82] [23/03/2016 at 15:17:00]"/>
  </r>
  <r>
    <s v="3639406-1458746220-224"/>
    <s v="Spot"/>
    <s v="3639406-1458746220-224"/>
    <n v="0"/>
    <d v="2016-03-31T00:00:00"/>
    <x v="196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9406-1458746220-224] [23/03/2016 at 15:17:00]"/>
  </r>
  <r>
    <s v="3639400-1458746218-145"/>
    <s v="Spot"/>
    <s v="3639400-1458746218-145"/>
    <n v="0"/>
    <d v="2016-03-31T00:00:00"/>
    <x v="197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9400-1458746218-145] [23/03/2016 at 15:16:00]"/>
  </r>
  <r>
    <s v="3639427-1458746240-216"/>
    <s v="Spot"/>
    <s v="3639427-1458746240-216"/>
    <n v="0"/>
    <d v="2016-03-31T00:00:00"/>
    <x v="1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427-1458746240-216] [23/03/2016 at 15:17:00]"/>
  </r>
  <r>
    <s v="3639442-1458746259-179"/>
    <s v="Spot"/>
    <s v="3639442-1458746259-179"/>
    <n v="0"/>
    <d v="2016-03-31T00:00:00"/>
    <x v="199"/>
    <s v="179"/>
    <s v="SELL"/>
    <n v="3.391943980470256"/>
    <x v="0"/>
    <x v="0"/>
    <n v="1055.98"/>
    <s v="Deal"/>
    <m/>
    <s v="Original Amount [EUR 311.32], Merchant Amount [EUR 311.32], Customer Amount [TRY 1055.98], Status [APPROVED], Operation [3DAUTH], UUID [3639442-1458746259-179] [23/03/2016 at 15:17:00]"/>
  </r>
  <r>
    <s v="3639373-1458746199-82"/>
    <s v="Spot"/>
    <s v="3639373-1458746199-82"/>
    <n v="0"/>
    <d v="2016-03-31T00:00:00"/>
    <x v="20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373-1458746199-82] [23/03/2016 at 15:16:00]"/>
  </r>
  <r>
    <s v="3639367-1458746193-145"/>
    <s v="Spot"/>
    <s v="3639367-1458746193-145"/>
    <n v="0"/>
    <d v="2016-03-31T00:00:00"/>
    <x v="201"/>
    <s v="145"/>
    <s v="SELL"/>
    <n v="1.5442574981711776"/>
    <x v="0"/>
    <x v="2"/>
    <n v="21.11"/>
    <s v="Deal"/>
    <m/>
    <s v="Original Amount [EUR 13.67], Merchant Amount [EUR 13.67], Customer Amount [CAD 21.11], Status [APPROVED], Operation [DIRECT], UUID [3639367-1458746193-145] [23/03/2016 at 15:16:00]"/>
  </r>
  <r>
    <s v="3639418-1458746238-56"/>
    <s v="Spot"/>
    <s v="3639418-1458746238-56"/>
    <n v="0"/>
    <d v="2016-03-31T00:00:00"/>
    <x v="2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9418-1458746238-56] [23/03/2016 at 15:17:00]"/>
  </r>
  <r>
    <s v="3639376-1458746201-101"/>
    <s v="Spot"/>
    <s v="3639376-1458746201-101"/>
    <n v="0"/>
    <d v="2016-03-31T00:00:00"/>
    <x v="203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9376-1458746201-101] [23/03/2016 at 15:16:00]"/>
  </r>
  <r>
    <s v="3639388-1458746215-102"/>
    <s v="Spot"/>
    <s v="3639388-1458746215-102"/>
    <n v="0"/>
    <d v="2016-03-31T00:00:00"/>
    <x v="204"/>
    <s v="102"/>
    <s v="SELL"/>
    <n v="3.3919354838709679"/>
    <x v="0"/>
    <x v="0"/>
    <n v="63.09"/>
    <s v="Deal"/>
    <m/>
    <s v="Original Amount [EUR 18.6], Merchant Amount [EUR 18.6], Customer Amount [TRY 63.09], Status [APPROVED], Operation [3DAUTH], UUID [3639388-1458746215-102] [23/03/2016 at 15:16:00]"/>
  </r>
  <r>
    <s v="3639340-1458746167-187"/>
    <s v="Spot"/>
    <s v="3639340-1458746167-187"/>
    <n v="0"/>
    <d v="2016-03-31T00:00:00"/>
    <x v="205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9340-1458746167-187] [23/03/2016 at 15:16:00]"/>
  </r>
  <r>
    <s v="3639382-1458746206-216"/>
    <s v="Spot"/>
    <s v="3639382-1458746206-216"/>
    <n v="0"/>
    <d v="2016-03-31T00:00:00"/>
    <x v="20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9382-1458746206-216] [23/03/2016 at 15:16:00]"/>
  </r>
  <r>
    <s v="3639331-1458746162-82"/>
    <s v="Spot"/>
    <s v="3639331-1458746162-82"/>
    <n v="0"/>
    <d v="2016-03-31T00:00:00"/>
    <x v="207"/>
    <s v="82"/>
    <s v="SELL"/>
    <n v="0.83600142298114555"/>
    <x v="0"/>
    <x v="4"/>
    <n v="23.5"/>
    <s v="Deal"/>
    <m/>
    <s v="Original Amount [GBP 23.5], Merchant Amount [EUR 28.11], Customer Amount [GBP 23.5], Status [APPROVED], Operation [DIRECT], UUID [3639331-1458746162-82] [23/03/2016 at 15:16:00]"/>
  </r>
  <r>
    <s v="3639328-1458746157-119"/>
    <s v="Spot"/>
    <s v="3639328-1458746157-119"/>
    <n v="0"/>
    <d v="2016-03-31T00:00:00"/>
    <x v="20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9328-1458746157-119] [23/03/2016 at 15:15:00]"/>
  </r>
  <r>
    <s v="3639310-1458746145-224"/>
    <s v="Spot"/>
    <s v="3639310-1458746145-224"/>
    <n v="0"/>
    <d v="2016-03-31T00:00:00"/>
    <x v="20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9310-1458746145-224] [23/03/2016 at 15:15:00]"/>
  </r>
  <r>
    <s v="3639322-1458746155-101"/>
    <s v="Spot"/>
    <s v="3639322-1458746155-101"/>
    <n v="0"/>
    <d v="2016-03-31T00:00:00"/>
    <x v="210"/>
    <s v="101"/>
    <s v="SELL"/>
    <n v="3.3928143712574848"/>
    <x v="0"/>
    <x v="0"/>
    <n v="28.33"/>
    <s v="Deal"/>
    <m/>
    <s v="Original Amount [EUR 8.35], Merchant Amount [EUR 8.35], Customer Amount [TRY 28.33], Status [APPROVED], Operation [3DAUTH], UUID [3639322-1458746155-101] [23/03/2016 at 15:15:00]"/>
  </r>
  <r>
    <s v="3639283-1458746123-145"/>
    <s v="Spot"/>
    <s v="3639283-1458746123-145"/>
    <n v="0"/>
    <d v="2016-03-31T00:00:00"/>
    <x v="211"/>
    <s v="145"/>
    <s v="SELL"/>
    <n v="1.5442840421381194"/>
    <x v="0"/>
    <x v="2"/>
    <n v="79.16"/>
    <s v="Deal"/>
    <m/>
    <s v="Original Amount [EUR 51.26], Merchant Amount [EUR 51.26], Customer Amount [CAD 79.16], Status [APPROVED], Operation [DIRECT], UUID [3639283-1458746123-145] [23/03/2016 at 15:15:00]"/>
  </r>
  <r>
    <s v="3639313-1458746148-107"/>
    <s v="Spot"/>
    <s v="3639313-1458746148-107"/>
    <n v="0"/>
    <d v="2016-03-31T00:00:00"/>
    <x v="212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9313-1458746148-107] [23/03/2016 at 15:15:00]"/>
  </r>
  <r>
    <s v="3639265-1458746097-264"/>
    <s v="Spot"/>
    <s v="3639265-1458746097-264"/>
    <n v="0"/>
    <d v="2016-03-31T00:00:00"/>
    <x v="213"/>
    <s v="264"/>
    <s v="SELL"/>
    <n v="80.005785920925746"/>
    <x v="0"/>
    <x v="8"/>
    <n v="2488.98"/>
    <s v="Deal"/>
    <m/>
    <s v="Original Amount [TRY 100], Merchant Amount [EUR 31.11], Customer Amount [RUB 2488.98], Status [WAITING], Operation [3D], UUID [3639265-1458746097-264] [23/03/2016 at 15:14:00]"/>
  </r>
  <r>
    <s v="3639301-1458746133-56"/>
    <s v="Spot"/>
    <s v="3639301-1458746133-56"/>
    <n v="0"/>
    <d v="2016-03-31T00:00:00"/>
    <x v="214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9301-1458746133-56] [23/03/2016 at 15:15:00]"/>
  </r>
  <r>
    <s v="3639259-1458746097-200"/>
    <s v="Spot"/>
    <s v="3639259-1458746097-200"/>
    <n v="0"/>
    <d v="2016-03-31T00:00:00"/>
    <x v="215"/>
    <s v="200"/>
    <s v="SELL"/>
    <n v="9.975363839591223"/>
    <x v="0"/>
    <x v="1"/>
    <n v="4373"/>
    <s v="Deal"/>
    <m/>
    <s v="Original Amount [EUR 438.38], Merchant Amount [EUR 438.38], Customer Amount [NOK 4373], Status [APPROVED], Operation [STORED], UUID [3639259-1458746097-200] [23/03/2016 at 15:14:00]"/>
  </r>
  <r>
    <s v="3639256-1458746096-199"/>
    <s v="Spot"/>
    <s v="3639256-1458746096-199"/>
    <n v="0"/>
    <d v="2016-03-31T00:00:00"/>
    <x v="216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9256-1458746096-199] [23/03/2016 at 15:14:00]"/>
  </r>
  <r>
    <s v="3639307-1458746136-56"/>
    <s v="Spot"/>
    <s v="3639307-1458746136-56"/>
    <n v="0"/>
    <d v="2016-03-31T00:00:00"/>
    <x v="217"/>
    <s v="56"/>
    <s v="SELL"/>
    <n v="3.395617070357555"/>
    <x v="0"/>
    <x v="0"/>
    <n v="29.44"/>
    <s v="Deal"/>
    <m/>
    <s v="Original Amount [EUR 8.67], Merchant Amount [EUR 8.67], Customer Amount [TRY 29.44], Status [APPROVED], Operation [3DAUTH], UUID [3639307-1458746136-56] [23/03/2016 at 15:15:00]"/>
  </r>
  <r>
    <s v="3639244-1458746083-216"/>
    <s v="Spot"/>
    <s v="3639244-1458746083-216"/>
    <n v="0"/>
    <d v="2016-03-31T00:00:00"/>
    <x v="218"/>
    <s v="216"/>
    <s v="SELL"/>
    <n v="3.3959839357429722"/>
    <x v="0"/>
    <x v="0"/>
    <n v="42.28"/>
    <s v="Deal"/>
    <m/>
    <s v="Original Amount [EUR 12.45], Merchant Amount [EUR 12.45], Customer Amount [TRY 42.28], Status [WAITING], Operation [3D], UUID [3639244-1458746083-216] [23/03/2016 at 15:14:00]"/>
  </r>
  <r>
    <s v="3639355-1458746180-264"/>
    <s v="Spot"/>
    <s v="3639355-1458746180-264"/>
    <n v="0"/>
    <d v="2016-03-31T00:00:00"/>
    <x v="219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39355-1458746180-264] [23/03/2016 at 15:16:00]"/>
  </r>
  <r>
    <s v="3639229-1458746072-107"/>
    <s v="Spot"/>
    <s v="3639229-1458746072-107"/>
    <n v="0"/>
    <d v="2016-03-31T00:00:00"/>
    <x v="220"/>
    <s v="107"/>
    <s v="SELL"/>
    <n v="3.3953088013772326"/>
    <x v="0"/>
    <x v="0"/>
    <n v="157.78"/>
    <s v="Deal"/>
    <m/>
    <s v="Original Amount [EUR 46.47], Merchant Amount [EUR 46.47], Customer Amount [TRY 157.78], Status [WAITING], Operation [3D], UUID [3639229-1458746072-107] [23/03/2016 at 15:14:00]"/>
  </r>
  <r>
    <s v="3639268-1458746099-101"/>
    <s v="Spot"/>
    <s v="3639268-1458746099-101"/>
    <n v="0"/>
    <d v="2016-03-31T00:00:00"/>
    <x v="221"/>
    <s v="101"/>
    <s v="SELL"/>
    <n v="3.395401106500691"/>
    <x v="0"/>
    <x v="0"/>
    <n v="196.39"/>
    <s v="Deal"/>
    <m/>
    <s v="Original Amount [EUR 57.84], Merchant Amount [EUR 57.84], Customer Amount [TRY 196.39], Status [APPROVED], Operation [3DAUTH], UUID [3639268-1458746099-101] [23/03/2016 at 15:14:00]"/>
  </r>
  <r>
    <s v="3639223-1458746069-261"/>
    <s v="Spot"/>
    <s v="3639223-1458746069-261"/>
    <n v="0"/>
    <d v="2016-03-31T00:00:00"/>
    <x v="222"/>
    <s v="261"/>
    <s v="SELL"/>
    <n v="9.975427350427351"/>
    <x v="0"/>
    <x v="1"/>
    <n v="746.96"/>
    <s v="Deal"/>
    <m/>
    <s v="Original Amount [EUR 74.88], Merchant Amount [EUR 74.88], Customer Amount [NOK 746.96], Status [APPROVED], Operation [DIRECT], UUID [3639223-1458746069-261] [23/03/2016 at 15:14:00]"/>
  </r>
  <r>
    <s v="3639220-1458746067-261"/>
    <s v="Spot"/>
    <s v="3639220-1458746067-261"/>
    <n v="0"/>
    <d v="2016-03-31T00:00:00"/>
    <x v="223"/>
    <s v="261"/>
    <s v="SELL"/>
    <n v="9.9754615564384217"/>
    <x v="0"/>
    <x v="1"/>
    <n v="426.85"/>
    <s v="Deal"/>
    <m/>
    <s v="Original Amount [EUR 42.79], Merchant Amount [EUR 42.79], Customer Amount [NOK 426.85], Status [APPROVED], Operation [DIRECT], UUID [3639220-1458746067-261] [23/03/2016 at 15:14:00]"/>
  </r>
  <r>
    <s v="3639217-1458746061-82"/>
    <s v="Spot"/>
    <s v="3639217-1458746061-82"/>
    <n v="0"/>
    <d v="2016-03-31T00:00:00"/>
    <x v="224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9217-1458746061-82] [23/03/2016 at 15:14:00]"/>
  </r>
  <r>
    <s v="3639199-1458746041-82"/>
    <s v="Spot"/>
    <s v="3639199-1458746041-82"/>
    <n v="0"/>
    <d v="2016-03-31T00:00:00"/>
    <x v="22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199-1458746041-82] [23/03/2016 at 15:14:00]"/>
  </r>
  <r>
    <s v="3639196-1458746040-119"/>
    <s v="Spot"/>
    <s v="3639196-1458746040-119"/>
    <n v="0"/>
    <d v="2016-03-31T00:00:00"/>
    <x v="226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9196-1458746040-119] [23/03/2016 at 15:14:00]"/>
  </r>
  <r>
    <s v="3639181-1458746028-82"/>
    <s v="Spot"/>
    <s v="3639181-1458746028-82"/>
    <n v="0"/>
    <d v="2016-03-31T00:00:00"/>
    <x v="227"/>
    <s v="82"/>
    <s v="SELL"/>
    <n v="1.1828120255086547"/>
    <x v="0"/>
    <x v="7"/>
    <n v="38.950000000000003"/>
    <s v="Deal"/>
    <m/>
    <s v="Original Amount [USD 38.95], Merchant Amount [EUR 32.93], Customer Amount [USD 38.95], Status [APPROVED], Operation [DIRECT], UUID [3639181-1458746028-82] [23/03/2016 at 15:13:00]"/>
  </r>
  <r>
    <s v="3639208-1458746051-216"/>
    <s v="Spot"/>
    <s v="3639208-1458746051-216"/>
    <n v="0"/>
    <d v="2016-03-31T00:00:00"/>
    <x v="228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39208-1458746051-216] [23/03/2016 at 15:14:00]"/>
  </r>
  <r>
    <s v="3639163-1458746003-145"/>
    <s v="Spot"/>
    <s v="3639163-1458746003-145"/>
    <n v="0"/>
    <d v="2016-03-31T00:00:00"/>
    <x v="229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9163-1458746003-145] [23/03/2016 at 15:13:00]"/>
  </r>
  <r>
    <s v="3639166-1458746010-126"/>
    <s v="Spot"/>
    <s v="3639166-1458746010-126"/>
    <n v="0"/>
    <d v="2016-03-31T00:00:00"/>
    <x v="230"/>
    <s v="126"/>
    <s v="SELL"/>
    <n v="9.9756097560975601"/>
    <x v="0"/>
    <x v="1"/>
    <n v="122.7"/>
    <s v="Deal"/>
    <m/>
    <s v="Original Amount [EUR 12.3], Merchant Amount [EUR 12.3], Customer Amount [NOK 122.7], Status [APPROVED], Operation [3DAUTH], UUID [3639166-1458746010-126] [23/03/2016 at 15:13:00]"/>
  </r>
  <r>
    <s v="3639151-1458745995-82"/>
    <s v="Spot"/>
    <s v="3639151-1458745995-82"/>
    <n v="0"/>
    <d v="2016-03-31T00:00:00"/>
    <x v="231"/>
    <s v="82"/>
    <s v="SELL"/>
    <n v="1.1828593996840442"/>
    <x v="0"/>
    <x v="7"/>
    <n v="29.95"/>
    <s v="Deal"/>
    <m/>
    <s v="Original Amount [USD 29.95], Merchant Amount [EUR 25.32], Customer Amount [USD 29.95], Status [APPROVED], Operation [DIRECT], UUID [3639151-1458745995-82] [23/03/2016 at 15:13:00]"/>
  </r>
  <r>
    <s v="3639145-1458745988-82"/>
    <s v="Spot"/>
    <s v="3639145-1458745988-82"/>
    <n v="0"/>
    <d v="2016-03-31T00:00:00"/>
    <x v="232"/>
    <s v="82"/>
    <s v="SELL"/>
    <n v="1.1827411167512691"/>
    <x v="0"/>
    <x v="7"/>
    <n v="34.950000000000003"/>
    <s v="Deal"/>
    <m/>
    <s v="Original Amount [USD 34.95], Merchant Amount [EUR 29.55], Customer Amount [USD 34.95], Status [APPROVED], Operation [DIRECT], UUID [3639145-1458745988-82] [23/03/2016 at 15:13:00]"/>
  </r>
  <r>
    <s v="3639169-1458746011-216"/>
    <s v="Spot"/>
    <s v="3639169-1458746011-216"/>
    <n v="0"/>
    <d v="2016-03-31T00:00:00"/>
    <x v="233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9169-1458746011-216] [23/03/2016 at 15:13:00]"/>
  </r>
  <r>
    <s v="3639127-1458745979-82"/>
    <s v="Spot"/>
    <s v="3639127-1458745979-82"/>
    <n v="0"/>
    <d v="2016-03-31T00:00:00"/>
    <x v="23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9127-1458745979-82] [23/03/2016 at 15:12:00]"/>
  </r>
  <r>
    <s v="3639124-1458745978-126"/>
    <s v="Spot"/>
    <s v="3639124-1458745978-126"/>
    <n v="0"/>
    <d v="2016-03-31T00:00:00"/>
    <x v="23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9124-1458745978-126] [23/03/2016 at 15:12:00]"/>
  </r>
  <r>
    <s v="3639118-1458745977-145"/>
    <s v="Spot"/>
    <s v="3639118-1458745977-145"/>
    <n v="0"/>
    <d v="2016-03-31T00:00:00"/>
    <x v="236"/>
    <s v="145"/>
    <s v="SELL"/>
    <n v="9.9754562617998737"/>
    <x v="0"/>
    <x v="1"/>
    <n v="317.02"/>
    <s v="Deal"/>
    <m/>
    <s v="Original Amount [EUR 31.78], Merchant Amount [EUR 31.78], Customer Amount [NOK 317.02], Status [APPROVED], Operation [DIRECT], UUID [3639118-1458745977-145] [23/03/2016 at 15:12:00]"/>
  </r>
  <r>
    <s v="3639109-1458745965-125"/>
    <s v="Spot"/>
    <s v="3639109-1458745965-125"/>
    <n v="0"/>
    <d v="2016-03-31T00:00:00"/>
    <x v="237"/>
    <s v="125"/>
    <s v="SELL"/>
    <n v="9.9753636363636353"/>
    <x v="0"/>
    <x v="1"/>
    <n v="1097.29"/>
    <s v="Deal"/>
    <m/>
    <s v="Original Amount [EUR 110], Merchant Amount [EUR 110], Customer Amount [NOK 1097.29], Status [APPROVED], Operation [DIRECT], UUID [3639109-1458745965-125] [23/03/2016 at 15:12:00]"/>
  </r>
  <r>
    <s v="3639106-1458745958-119"/>
    <s v="Spot"/>
    <s v="3639106-1458745958-119"/>
    <n v="0"/>
    <d v="2016-03-31T00:00:00"/>
    <x v="238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106-1458745958-119] [23/03/2016 at 15:12:00]"/>
  </r>
  <r>
    <s v="3639097-1458745954-171"/>
    <s v="Spot"/>
    <s v="3639097-1458745954-171"/>
    <n v="0"/>
    <d v="2016-03-31T00:00:00"/>
    <x v="239"/>
    <s v="171"/>
    <s v="SELL"/>
    <n v="9.9754000000000005"/>
    <x v="0"/>
    <x v="1"/>
    <n v="498.77"/>
    <s v="Deal"/>
    <m/>
    <s v="Original Amount [EUR 50], Merchant Amount [EUR 50], Customer Amount [NOK 498.77], Status [APPROVED], Operation [DIRECT], UUID [3639097-1458745954-171] [23/03/2016 at 15:12:00]"/>
  </r>
  <r>
    <s v="3639094-1458745948-199"/>
    <s v="Spot"/>
    <s v="3639094-1458745948-199"/>
    <n v="0"/>
    <d v="2016-03-31T00:00:00"/>
    <x v="24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4-1458745948-199] [23/03/2016 at 15:12:00]"/>
  </r>
  <r>
    <s v="3639091-1458745947-199"/>
    <s v="Spot"/>
    <s v="3639091-1458745947-199"/>
    <n v="0"/>
    <d v="2016-03-31T00:00:00"/>
    <x v="241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9091-1458745947-199] [23/03/2016 at 15:12:00]"/>
  </r>
  <r>
    <s v="3639085-1458745945-119"/>
    <s v="Spot"/>
    <s v="3639085-1458745945-119"/>
    <n v="0"/>
    <d v="2016-03-31T00:00:00"/>
    <x v="24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9085-1458745945-119] [23/03/2016 at 15:12:00]"/>
  </r>
  <r>
    <s v="3639082-1458745945-171"/>
    <s v="Spot"/>
    <s v="3639082-1458745945-171"/>
    <n v="0"/>
    <d v="2016-03-31T00:00:00"/>
    <x v="243"/>
    <s v="171"/>
    <s v="SELL"/>
    <n v="9.9755000000000003"/>
    <x v="0"/>
    <x v="1"/>
    <n v="199.51"/>
    <s v="Deal"/>
    <m/>
    <s v="Original Amount [EUR 20], Merchant Amount [EUR 20], Customer Amount [NOK 199.51], Status [APPROVED], Operation [DIRECT], UUID [3639082-1458745945-171] [23/03/2016 at 15:12:00]"/>
  </r>
  <r>
    <s v="3639079-1458745944-224"/>
    <s v="Spot"/>
    <s v="3639079-1458745944-224"/>
    <n v="0"/>
    <d v="2016-03-31T00:00:00"/>
    <x v="244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9079-1458745944-224] [23/03/2016 at 15:12:00]"/>
  </r>
  <r>
    <s v="3639076-1458745944-216"/>
    <s v="Spot"/>
    <s v="3639076-1458745944-216"/>
    <n v="0"/>
    <d v="2016-03-31T00:00:00"/>
    <x v="245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9076-1458745944-216] [23/03/2016 at 15:12:00]"/>
  </r>
  <r>
    <s v="3639139-1458745984-56"/>
    <s v="Spot"/>
    <s v="3639139-1458745984-56"/>
    <n v="0"/>
    <d v="2016-03-31T00:00:00"/>
    <x v="246"/>
    <s v="56"/>
    <s v="SELL"/>
    <n v="3.3959955506117909"/>
    <x v="0"/>
    <x v="0"/>
    <n v="30.53"/>
    <s v="Deal"/>
    <m/>
    <s v="Original Amount [EUR 8.99], Merchant Amount [EUR 8.99], Customer Amount [TRY 30.53], Status [APPROVED], Operation [3DAUTH], UUID [3639139-1458745984-56] [23/03/2016 at 15:13:00]"/>
  </r>
  <r>
    <s v="3639055-1458745935-82"/>
    <s v="Spot"/>
    <s v="3639055-1458745935-82"/>
    <n v="0"/>
    <d v="2016-03-31T00:00:00"/>
    <x v="247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9055-1458745935-82] [23/03/2016 at 15:12:00]"/>
  </r>
  <r>
    <s v="3639046-1458745927-224"/>
    <s v="Spot"/>
    <s v="3639046-1458745927-224"/>
    <n v="0"/>
    <d v="2016-03-31T00:00:00"/>
    <x v="248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9046-1458745927-224] [23/03/2016 at 15:12:00]"/>
  </r>
  <r>
    <s v="3639037-1458745926-82"/>
    <s v="Spot"/>
    <s v="3639037-1458745926-82"/>
    <n v="0"/>
    <d v="2016-03-31T00:00:00"/>
    <x v="249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9037-1458745926-82] [23/03/2016 at 15:12:00]"/>
  </r>
  <r>
    <s v="3639019-1458745916-224"/>
    <s v="Spot"/>
    <s v="3639019-1458745916-224"/>
    <n v="0"/>
    <d v="2016-03-31T00:00:00"/>
    <x v="250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39019-1458745916-224] [23/03/2016 at 15:11:00]"/>
  </r>
  <r>
    <s v="3639088-1458745945-216"/>
    <s v="Spot"/>
    <s v="3639088-1458745945-216"/>
    <n v="0"/>
    <d v="2016-03-31T00:00:00"/>
    <x v="251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9088-1458745945-216] [23/03/2016 at 15:12:00]"/>
  </r>
  <r>
    <s v="3639007-1458745910-82"/>
    <s v="Spot"/>
    <s v="3639007-1458745910-82"/>
    <n v="0"/>
    <d v="2016-03-31T00:00:00"/>
    <x v="25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9007-1458745910-82] [23/03/2016 at 15:11:00]"/>
  </r>
  <r>
    <s v="3639004-1458745910-119"/>
    <s v="Spot"/>
    <s v="3639004-1458745910-119"/>
    <n v="0"/>
    <d v="2016-03-31T00:00:00"/>
    <x v="25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9004-1458745910-119] [23/03/2016 at 15:11:00]"/>
  </r>
  <r>
    <s v="3638995-1458745899-82"/>
    <s v="Spot"/>
    <s v="3638995-1458745899-82"/>
    <n v="0"/>
    <d v="2016-03-31T00:00:00"/>
    <x v="25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95-1458745899-82] [23/03/2016 at 15:11:00]"/>
  </r>
  <r>
    <s v="3639058-1458745936-216"/>
    <s v="Spot"/>
    <s v="3639058-1458745936-216"/>
    <n v="0"/>
    <d v="2016-03-31T00:00:00"/>
    <x v="255"/>
    <s v="216"/>
    <s v="SELL"/>
    <n v="3.3879587349906983"/>
    <x v="0"/>
    <x v="0"/>
    <n v="200.33"/>
    <s v="Deal"/>
    <m/>
    <s v="Original Amount [EUR 59.13], Merchant Amount [EUR 59.13], Customer Amount [TRY 200.33], Status [APPROVED], Operation [3DAUTH], UUID [3639058-1458745936-216] [23/03/2016 at 15:12:00]"/>
  </r>
  <r>
    <s v="3639160-1458746001-216"/>
    <s v="Spot"/>
    <s v="3639160-1458746001-216"/>
    <n v="0"/>
    <d v="2016-03-31T00:00:00"/>
    <x v="256"/>
    <s v="216"/>
    <s v="SELL"/>
    <n v="3.3879966187658495"/>
    <x v="0"/>
    <x v="0"/>
    <n v="40.08"/>
    <s v="Deal"/>
    <m/>
    <s v="Original Amount [EUR 11.83], Merchant Amount [EUR 11.83], Customer Amount [TRY 40.08], Status [APPROVED], Operation [3DAUTH], UUID [3639160-1458746001-216] [23/03/2016 at 15:13:00]"/>
  </r>
  <r>
    <s v="3638980-1458745891-224"/>
    <s v="Spot"/>
    <s v="3638980-1458745891-224"/>
    <n v="0"/>
    <d v="2016-03-31T00:00:00"/>
    <x v="257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980-1458745891-224] [23/03/2016 at 15:11:00]"/>
  </r>
  <r>
    <s v="3638974-1458745890-82"/>
    <s v="Spot"/>
    <s v="3638974-1458745890-82"/>
    <n v="0"/>
    <d v="2016-03-31T00:00:00"/>
    <x v="25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4-1458745890-82] [23/03/2016 at 15:11:00]"/>
  </r>
  <r>
    <s v="3638971-1458745888-82"/>
    <s v="Spot"/>
    <s v="3638971-1458745888-82"/>
    <n v="0"/>
    <d v="2016-03-31T00:00:00"/>
    <x v="259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971-1458745888-82] [23/03/2016 at 15:11:00]"/>
  </r>
  <r>
    <s v="3638959-1458745879-82"/>
    <s v="Spot"/>
    <s v="3638959-1458745879-82"/>
    <n v="0"/>
    <d v="2016-03-31T00:00:00"/>
    <x v="260"/>
    <s v="82"/>
    <s v="SELL"/>
    <n v="1.1826697892271663"/>
    <x v="0"/>
    <x v="7"/>
    <n v="50.5"/>
    <s v="Deal"/>
    <m/>
    <s v="Original Amount [USD 50.5], Merchant Amount [EUR 42.7], Customer Amount [USD 50.5], Status [APPROVED], Operation [DIRECT], UUID [3638959-1458745879-82] [23/03/2016 at 15:11:00]"/>
  </r>
  <r>
    <s v="3638956-1458745879-216"/>
    <s v="Spot"/>
    <s v="3638956-1458745879-216"/>
    <n v="0"/>
    <d v="2016-03-31T00:00:00"/>
    <x v="26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56-1458745879-216] [23/03/2016 at 15:11:00]"/>
  </r>
  <r>
    <s v="3639040-1458745926-101"/>
    <s v="Spot"/>
    <s v="3639040-1458745926-101"/>
    <n v="0"/>
    <d v="2016-03-31T00:00:00"/>
    <x v="262"/>
    <s v="101"/>
    <s v="SELL"/>
    <n v="3.387826086956522"/>
    <x v="0"/>
    <x v="0"/>
    <n v="525.96"/>
    <s v="Deal"/>
    <m/>
    <s v="Original Amount [EUR 155.25], Merchant Amount [EUR 155.25], Customer Amount [TRY 525.96], Status [APPROVED], Operation [3DAUTH], UUID [3639040-1458745926-101] [23/03/2016 at 15:12:00]"/>
  </r>
  <r>
    <s v="3638950-1458745874-145"/>
    <s v="Spot"/>
    <s v="3638950-1458745874-145"/>
    <n v="0"/>
    <d v="2016-03-31T00:00:00"/>
    <x v="263"/>
    <s v="145"/>
    <s v="SELL"/>
    <n v="1.5513936644963056"/>
    <x v="0"/>
    <x v="2"/>
    <n v="212.06"/>
    <s v="Deal"/>
    <m/>
    <s v="Original Amount [EUR 136.69], Merchant Amount [EUR 136.69], Customer Amount [CAD 212.06], Status [APPROVED], Operation [DIRECT], UUID [3638950-1458745874-145] [23/03/2016 at 15:11:00]"/>
  </r>
  <r>
    <s v="3638947-1458745872-216"/>
    <s v="Spot"/>
    <s v="3638947-1458745872-216"/>
    <n v="0"/>
    <d v="2016-03-31T00:00:00"/>
    <x v="264"/>
    <s v="216"/>
    <s v="SELL"/>
    <n v="3.3879518072289159"/>
    <x v="0"/>
    <x v="0"/>
    <n v="42.18"/>
    <s v="Deal"/>
    <m/>
    <s v="Original Amount [EUR 12.45], Merchant Amount [EUR 12.45], Customer Amount [TRY 42.18], Status [WAITING], Operation [3D], UUID [3638947-1458745872-216] [23/03/2016 at 15:11:00]"/>
  </r>
  <r>
    <s v="3638935-1458745863-261"/>
    <s v="Spot"/>
    <s v="3638935-1458745863-261"/>
    <n v="0"/>
    <d v="2016-03-31T00:00:00"/>
    <x v="265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38935-1458745863-261] [23/03/2016 at 15:11:00]"/>
  </r>
  <r>
    <s v="3638932-1458745862-224"/>
    <s v="Spot"/>
    <s v="3638932-1458745862-224"/>
    <n v="0"/>
    <d v="2016-03-31T00:00:00"/>
    <x v="266"/>
    <s v="224"/>
    <s v="SELL"/>
    <n v="133.03550098798871"/>
    <x v="0"/>
    <x v="3"/>
    <n v="59920.52"/>
    <s v="Deal"/>
    <m/>
    <s v="Original Amount [EUR 450.41], Merchant Amount [EUR 450.41], Customer Amount [JPY 59920.52], Status [APPROVED], Operation [DIRECT], UUID [3638932-1458745862-224] [23/03/2016 at 15:11:00]"/>
  </r>
  <r>
    <s v="3638929-1458745861-119"/>
    <s v="Spot"/>
    <s v="3638929-1458745861-119"/>
    <n v="0"/>
    <d v="2016-03-31T00:00:00"/>
    <x v="26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9-1458745861-119] [23/03/2016 at 15:11:00]"/>
  </r>
  <r>
    <s v="3638923-1458745857-119"/>
    <s v="Spot"/>
    <s v="3638923-1458745857-119"/>
    <n v="0"/>
    <d v="2016-03-31T00:00:00"/>
    <x v="2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8923-1458745857-119] [23/03/2016 at 15:10:00]"/>
  </r>
  <r>
    <s v="3638920-1458745857-216"/>
    <s v="Spot"/>
    <s v="3638920-1458745857-216"/>
    <n v="0"/>
    <d v="2016-03-31T00:00:00"/>
    <x v="269"/>
    <s v="216"/>
    <s v="SELL"/>
    <n v="3.3879112471308339"/>
    <x v="0"/>
    <x v="0"/>
    <n v="44.28"/>
    <s v="Deal"/>
    <m/>
    <s v="Original Amount [EUR 13.07], Merchant Amount [EUR 13.07], Customer Amount [TRY 44.28], Status [WAITING], Operation [3D], UUID [3638920-1458745857-216] [23/03/2016 at 15:10:00]"/>
  </r>
  <r>
    <s v="3638914-1458745855-216"/>
    <s v="Spot"/>
    <s v="3638914-1458745855-216"/>
    <n v="0"/>
    <d v="2016-03-31T00:00:00"/>
    <x v="270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8914-1458745855-216] [23/03/2016 at 15:10:00]"/>
  </r>
  <r>
    <s v="3639028-1458745918-216"/>
    <s v="Spot"/>
    <s v="3639028-1458745918-216"/>
    <n v="0"/>
    <d v="2016-03-31T00:00:00"/>
    <x v="271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9028-1458745918-216] [23/03/2016 at 15:11:00]"/>
  </r>
  <r>
    <s v="3638905-1458745845-216"/>
    <s v="Spot"/>
    <s v="3638905-1458745845-216"/>
    <n v="0"/>
    <d v="2016-03-31T00:00:00"/>
    <x v="272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905-1458745845-216] [23/03/2016 at 15:10:00]"/>
  </r>
  <r>
    <s v="3639043-1458745927-203"/>
    <s v="Spot"/>
    <s v="3639043-1458745927-203"/>
    <n v="0"/>
    <d v="2016-03-31T00:00:00"/>
    <x v="273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9043-1458745927-203] [23/03/2016 at 15:12:00]"/>
  </r>
  <r>
    <s v="3638896-1458745838-82"/>
    <s v="Spot"/>
    <s v="3638896-1458745838-82"/>
    <n v="0"/>
    <d v="2016-03-31T00:00:00"/>
    <x v="27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96-1458745838-82] [23/03/2016 at 15:10:00]"/>
  </r>
  <r>
    <s v="3638962-1458745879-216"/>
    <s v="Spot"/>
    <s v="3638962-1458745879-216"/>
    <n v="0"/>
    <d v="2016-03-31T00:00:00"/>
    <x v="275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8962-1458745879-216] [23/03/2016 at 15:11:00]"/>
  </r>
  <r>
    <s v="3638887-1458745833-216"/>
    <s v="Spot"/>
    <s v="3638887-1458745833-216"/>
    <n v="0"/>
    <d v="2016-03-31T00:00:00"/>
    <x v="276"/>
    <s v="216"/>
    <s v="SELL"/>
    <n v="3.3882940756602427"/>
    <x v="0"/>
    <x v="0"/>
    <n v="47.47"/>
    <s v="Deal"/>
    <m/>
    <s v="Original Amount [EUR 14.01], Merchant Amount [EUR 14.01], Customer Amount [TRY 47.47], Status [WAITING], Operation [3D], UUID [3638887-1458745833-216] [23/03/2016 at 15:10:00]"/>
  </r>
  <r>
    <s v="3638884-1458745832-199"/>
    <s v="Spot"/>
    <s v="3638884-1458745832-199"/>
    <n v="0"/>
    <d v="2016-03-31T00:00:00"/>
    <x v="277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38884-1458745832-199] [23/03/2016 at 15:10:00]"/>
  </r>
  <r>
    <s v="3638878-1458745827-124"/>
    <s v="Spot"/>
    <s v="3638878-1458745827-124"/>
    <n v="0"/>
    <d v="2016-03-31T00:00:00"/>
    <x v="278"/>
    <s v="124"/>
    <s v="SELL"/>
    <n v="9.9664778092540143"/>
    <x v="0"/>
    <x v="1"/>
    <n v="211.09"/>
    <s v="Deal"/>
    <m/>
    <s v="Original Amount [EUR 21.18], Merchant Amount [EUR 21.18], Customer Amount [NOK 211.09], Status [APPROVED], Operation [DIRECT], UUID [3638878-1458745827-124] [23/03/2016 at 15:10:00]"/>
  </r>
  <r>
    <s v="3638875-1458745823-187"/>
    <s v="Spot"/>
    <s v="3638875-1458745823-187"/>
    <n v="0"/>
    <d v="2016-03-31T00:00:00"/>
    <x v="279"/>
    <s v="187"/>
    <s v="SELL"/>
    <n v="9.9663239985820642"/>
    <x v="0"/>
    <x v="1"/>
    <n v="843.45"/>
    <s v="Deal"/>
    <m/>
    <s v="Original Amount [EUR 84.63], Merchant Amount [EUR 84.63], Customer Amount [NOK 843.45], Status [APPROVED], Operation [DIRECT], UUID [3638875-1458745823-187] [23/03/2016 at 15:10:00]"/>
  </r>
  <r>
    <s v="3638872-1458745823-82"/>
    <s v="Spot"/>
    <s v="3638872-1458745823-82"/>
    <n v="0"/>
    <d v="2016-03-31T00:00:00"/>
    <x v="280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872-1458745823-82] [23/03/2016 at 15:10:00]"/>
  </r>
  <r>
    <s v="3638863-1458745817-216"/>
    <s v="Spot"/>
    <s v="3638863-1458745817-216"/>
    <n v="0"/>
    <d v="2016-03-31T00:00:00"/>
    <x v="281"/>
    <s v="216"/>
    <s v="SELL"/>
    <n v="3.3882433356117567"/>
    <x v="0"/>
    <x v="0"/>
    <n v="49.57"/>
    <s v="Deal"/>
    <m/>
    <s v="Original Amount [EUR 14.63], Merchant Amount [EUR 14.63], Customer Amount [TRY 49.57], Status [WAITING], Operation [3D], UUID [3638863-1458745817-216] [23/03/2016 at 15:10:00]"/>
  </r>
  <r>
    <s v="3638857-1458745814-82"/>
    <s v="Spot"/>
    <s v="3638857-1458745814-82"/>
    <n v="0"/>
    <d v="2016-03-31T00:00:00"/>
    <x v="2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57-1458745814-82] [23/03/2016 at 15:10:00]"/>
  </r>
  <r>
    <s v="3638848-1458745801-82"/>
    <s v="Spot"/>
    <s v="3638848-1458745801-82"/>
    <n v="0"/>
    <d v="2016-03-31T00:00:00"/>
    <x v="28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8-1458745801-82] [23/03/2016 at 15:10:00]"/>
  </r>
  <r>
    <s v="3638845-1458745800-82"/>
    <s v="Spot"/>
    <s v="3638845-1458745800-82"/>
    <n v="0"/>
    <d v="2016-03-31T00:00:00"/>
    <x v="28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45-1458745800-82] [23/03/2016 at 15:10:00]"/>
  </r>
  <r>
    <s v="3638839-1458745794-216"/>
    <s v="Spot"/>
    <s v="3638839-1458745794-216"/>
    <n v="0"/>
    <d v="2016-03-31T00:00:00"/>
    <x v="285"/>
    <s v="216"/>
    <s v="SELL"/>
    <n v="3.3882195448460508"/>
    <x v="0"/>
    <x v="0"/>
    <n v="50.62"/>
    <s v="Deal"/>
    <m/>
    <s v="Original Amount [EUR 14.94], Merchant Amount [EUR 14.94], Customer Amount [TRY 50.62], Status [WAITING], Operation [3D], UUID [3638839-1458745794-216] [23/03/2016 at 15:09:00]"/>
  </r>
  <r>
    <s v="3638833-1458745793-187"/>
    <s v="Spot"/>
    <s v="3638833-1458745793-187"/>
    <n v="0"/>
    <d v="2016-03-31T00:00:00"/>
    <x v="286"/>
    <s v="187"/>
    <s v="SELL"/>
    <n v="9.9663452448477976"/>
    <x v="0"/>
    <x v="1"/>
    <n v="527.12"/>
    <s v="Deal"/>
    <m/>
    <s v="Original Amount [EUR 52.89], Merchant Amount [EUR 52.89], Customer Amount [NOK 527.12], Status [APPROVED], Operation [DIRECT], UUID [3638833-1458745793-187] [23/03/2016 at 15:09:00]"/>
  </r>
  <r>
    <s v="3638917-1458745856-56"/>
    <s v="Spot"/>
    <s v="3638917-1458745856-56"/>
    <n v="0"/>
    <d v="2016-03-31T00:00:00"/>
    <x v="287"/>
    <s v="56"/>
    <s v="SELL"/>
    <n v="3.3886966551326414"/>
    <x v="0"/>
    <x v="0"/>
    <n v="29.38"/>
    <s v="Deal"/>
    <m/>
    <s v="Original Amount [EUR 8.67], Merchant Amount [EUR 8.67], Customer Amount [TRY 29.38], Status [APPROVED], Operation [3DAUTH], UUID [3638917-1458745856-56] [23/03/2016 at 15:10:00]"/>
  </r>
  <r>
    <s v="3638851-1458745805-102"/>
    <s v="Spot"/>
    <s v="3638851-1458745805-102"/>
    <n v="0"/>
    <d v="2016-03-31T00:00:00"/>
    <x v="288"/>
    <s v="102"/>
    <s v="SELL"/>
    <n v="3.3881720430107527"/>
    <x v="0"/>
    <x v="0"/>
    <n v="31.51"/>
    <s v="Deal"/>
    <m/>
    <s v="Original Amount [EUR 9.3], Merchant Amount [EUR 9.3], Customer Amount [TRY 31.51], Status [APPROVED], Operation [3DAUTH], UUID [3638851-1458745805-102] [23/03/2016 at 15:10:00]"/>
  </r>
  <r>
    <s v="3638809-1458745776-216"/>
    <s v="Spot"/>
    <s v="3638809-1458745776-216"/>
    <n v="0"/>
    <d v="2016-03-31T00:00:00"/>
    <x v="289"/>
    <s v="216"/>
    <s v="SELL"/>
    <n v="3.3881334981458591"/>
    <x v="0"/>
    <x v="0"/>
    <n v="54.82"/>
    <s v="Deal"/>
    <m/>
    <s v="Original Amount [EUR 16.18], Merchant Amount [EUR 16.18], Customer Amount [TRY 54.82], Status [WAITING], Operation [3D], UUID [3638809-1458745776-216] [23/03/2016 at 15:09:00]"/>
  </r>
  <r>
    <s v="3638806-1458745770-82"/>
    <s v="Spot"/>
    <s v="3638806-1458745770-82"/>
    <n v="0"/>
    <d v="2016-03-31T00:00:00"/>
    <x v="29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6-1458745770-82] [23/03/2016 at 15:09:00]"/>
  </r>
  <r>
    <s v="3638803-1458745769-199"/>
    <s v="Spot"/>
    <s v="3638803-1458745769-199"/>
    <n v="0"/>
    <d v="2016-03-31T00:00:00"/>
    <x v="291"/>
    <s v="199"/>
    <s v="SELL"/>
    <n v="9.966494845360824"/>
    <x v="0"/>
    <x v="1"/>
    <n v="270.69"/>
    <s v="Deal"/>
    <m/>
    <s v="Original Amount [EUR 27.16], Merchant Amount [EUR 27.16], Customer Amount [NOK 270.69], Status [APPROVED], Operation [DIRECT], UUID [3638803-1458745769-199] [23/03/2016 at 15:09:00]"/>
  </r>
  <r>
    <s v="3638800-1458745769-82"/>
    <s v="Spot"/>
    <s v="3638800-1458745769-82"/>
    <n v="0"/>
    <d v="2016-03-31T00:00:00"/>
    <x v="29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800-1458745769-82] [23/03/2016 at 15:09:00]"/>
  </r>
  <r>
    <s v="3638791-1458745752-82"/>
    <s v="Spot"/>
    <s v="3638791-1458745752-82"/>
    <n v="0"/>
    <d v="2016-03-31T00:00:00"/>
    <x v="293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38791-1458745752-82] [23/03/2016 at 15:09:00]"/>
  </r>
  <r>
    <s v="3638785-1458745750-216"/>
    <s v="Spot"/>
    <s v="3638785-1458745750-216"/>
    <n v="0"/>
    <d v="2016-03-31T00:00:00"/>
    <x v="294"/>
    <s v="216"/>
    <s v="SELL"/>
    <n v="3.3883235136582748"/>
    <x v="0"/>
    <x v="0"/>
    <n v="63.26"/>
    <s v="Deal"/>
    <m/>
    <s v="Original Amount [EUR 18.67], Merchant Amount [EUR 18.67], Customer Amount [TRY 63.26], Status [WAITING], Operation [3D], UUID [3638785-1458745750-216] [23/03/2016 at 15:09:00]"/>
  </r>
  <r>
    <s v="3638842-1458745796-216"/>
    <s v="Spot"/>
    <s v="3638842-1458745796-216"/>
    <n v="0"/>
    <d v="2016-03-31T00:00:00"/>
    <x v="295"/>
    <s v="216"/>
    <s v="SELL"/>
    <n v="3.3878678833054878"/>
    <x v="0"/>
    <x v="0"/>
    <n v="263.61"/>
    <s v="Deal"/>
    <m/>
    <s v="Original Amount [EUR 77.81], Merchant Amount [EUR 77.81], Customer Amount [TRY 263.61], Status [APPROVED], Operation [3DAUTH], UUID [3638842-1458745796-216] [23/03/2016 at 15:09:00]"/>
  </r>
  <r>
    <s v="3638773-1458745740-145"/>
    <s v="Spot"/>
    <s v="3638773-1458745740-145"/>
    <n v="0"/>
    <d v="2016-03-31T00:00:00"/>
    <x v="296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773-1458745740-145] [23/03/2016 at 15:09:00]"/>
  </r>
  <r>
    <s v="3638764-1458745728-199"/>
    <s v="Spot"/>
    <s v="3638764-1458745728-199"/>
    <n v="0"/>
    <d v="2016-03-31T00:00:00"/>
    <x v="297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8764-1458745728-199] [23/03/2016 at 15:08:00]"/>
  </r>
  <r>
    <s v="3638776-1458745743-203"/>
    <s v="Spot"/>
    <s v="3638776-1458745743-203"/>
    <n v="0"/>
    <d v="2016-03-31T00:00:00"/>
    <x v="298"/>
    <s v="203"/>
    <s v="SELL"/>
    <n v="3.3919354838709679"/>
    <x v="0"/>
    <x v="0"/>
    <n v="525.75"/>
    <s v="Deal"/>
    <m/>
    <s v="Original Amount [EUR 155], Merchant Amount [EUR 155], Customer Amount [TRY 525.75], Status [APPROVED], Operation [3DAUTH], UUID [3638776-1458745743-203] [23/03/2016 at 15:09:00]"/>
  </r>
  <r>
    <s v="3638779-1458745744-216"/>
    <s v="Spot"/>
    <s v="3638779-1458745744-216"/>
    <n v="0"/>
    <d v="2016-03-31T00:00:00"/>
    <x v="299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8779-1458745744-216] [23/03/2016 at 15:09:00]"/>
  </r>
  <r>
    <s v="3638743-1458745708-261"/>
    <s v="Spot"/>
    <s v="3638743-1458745708-261"/>
    <n v="0"/>
    <d v="2016-03-31T00:00:00"/>
    <x v="300"/>
    <s v="261"/>
    <s v="SELL"/>
    <n v="9.9505515049541966"/>
    <x v="0"/>
    <x v="1"/>
    <n v="1064.51"/>
    <s v="Deal"/>
    <m/>
    <s v="Original Amount [EUR 106.98], Merchant Amount [EUR 106.98], Customer Amount [NOK 1064.51], Status [APPROVED], Operation [DIRECT], UUID [3638743-1458745708-261] [23/03/2016 at 15:08:00]"/>
  </r>
  <r>
    <s v="3638740-1458745707-82"/>
    <s v="Spot"/>
    <s v="3638740-1458745707-82"/>
    <n v="0"/>
    <d v="2016-03-31T00:00:00"/>
    <x v="30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40-1458745707-82] [23/03/2016 at 15:08:00]"/>
  </r>
  <r>
    <s v="3638767-1458745738-216"/>
    <s v="Spot"/>
    <s v="3638767-1458745738-216"/>
    <n v="0"/>
    <d v="2016-03-31T00:00:00"/>
    <x v="302"/>
    <s v="216"/>
    <s v="SELL"/>
    <n v="3.3919353111277708"/>
    <x v="0"/>
    <x v="0"/>
    <n v="633.41"/>
    <s v="Deal"/>
    <m/>
    <s v="Original Amount [EUR 186.74], Merchant Amount [EUR 186.74], Customer Amount [TRY 633.41], Status [APPROVED], Operation [3DAUTH], UUID [3638767-1458745738-216] [23/03/2016 at 15:08:00]"/>
  </r>
  <r>
    <s v="3638734-1458745704-124"/>
    <s v="Spot"/>
    <s v="3638734-1458745704-124"/>
    <n v="0"/>
    <d v="2016-03-31T00:00:00"/>
    <x v="303"/>
    <s v="124"/>
    <s v="SELL"/>
    <n v="9.9505667506297222"/>
    <x v="0"/>
    <x v="1"/>
    <n v="316.02999999999997"/>
    <s v="Deal"/>
    <m/>
    <s v="Original Amount [EUR 31.76], Merchant Amount [EUR 31.76], Customer Amount [NOK 316.03], Status [APPROVED], Operation [DIRECT], UUID [3638734-1458745704-124] [23/03/2016 at 15:08:00]"/>
  </r>
  <r>
    <s v="3638728-1458745701-187"/>
    <s v="Spot"/>
    <s v="3638728-1458745701-187"/>
    <n v="0"/>
    <d v="2016-03-31T00:00:00"/>
    <x v="30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8728-1458745701-187] [23/03/2016 at 15:08:00]"/>
  </r>
  <r>
    <s v="3638881-1458745830-101"/>
    <s v="Spot"/>
    <s v="3638881-1458745830-101"/>
    <n v="0"/>
    <d v="2016-03-31T00:00:00"/>
    <x v="305"/>
    <s v="101"/>
    <s v="SELL"/>
    <n v="3.3921161825726136"/>
    <x v="0"/>
    <x v="0"/>
    <n v="49.05"/>
    <s v="Deal"/>
    <m/>
    <s v="Original Amount [EUR 14.46], Merchant Amount [EUR 14.46], Customer Amount [TRY 49.05], Status [APPROVED], Operation [3DAUTH], UUID [3638881-1458745830-101] [23/03/2016 at 15:10:00]"/>
  </r>
  <r>
    <s v="3638713-1458745691-261"/>
    <s v="Spot"/>
    <s v="3638713-1458745691-261"/>
    <n v="0"/>
    <d v="2016-03-31T00:00:00"/>
    <x v="306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8713-1458745691-261] [23/03/2016 at 15:08:00]"/>
  </r>
  <r>
    <s v="3638710-1458745690-82"/>
    <s v="Spot"/>
    <s v="3638710-1458745690-82"/>
    <n v="0"/>
    <d v="2016-03-31T00:00:00"/>
    <x v="30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8710-1458745690-82] [23/03/2016 at 15:08:00]"/>
  </r>
  <r>
    <s v="3638704-1458745689-82"/>
    <s v="Spot"/>
    <s v="3638704-1458745689-82"/>
    <n v="0"/>
    <d v="2016-03-31T00:00:00"/>
    <x v="30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704-1458745689-82] [23/03/2016 at 15:08:00]"/>
  </r>
  <r>
    <s v="3638701-1458745688-82"/>
    <s v="Spot"/>
    <s v="3638701-1458745688-82"/>
    <n v="0"/>
    <d v="2016-03-31T00:00:00"/>
    <x v="309"/>
    <s v="82"/>
    <s v="SELL"/>
    <n v="1.1825284090909092"/>
    <x v="0"/>
    <x v="7"/>
    <n v="49.95"/>
    <s v="Deal"/>
    <m/>
    <s v="Original Amount [USD 49.95], Merchant Amount [EUR 42.24], Customer Amount [USD 49.95], Status [APPROVED], Operation [DIRECT], UUID [3638701-1458745688-82] [23/03/2016 at 15:08:00]"/>
  </r>
  <r>
    <s v="3638680-1458745667-224"/>
    <s v="Spot"/>
    <s v="3638680-1458745667-224"/>
    <n v="0"/>
    <d v="2016-03-31T00:00:00"/>
    <x v="310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8680-1458745667-224] [23/03/2016 at 15:07:00]"/>
  </r>
  <r>
    <s v="3638677-1458745665-82"/>
    <s v="Spot"/>
    <s v="3638677-1458745665-82"/>
    <n v="0"/>
    <d v="2016-03-31T00:00:00"/>
    <x v="311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677-1458745665-82] [23/03/2016 at 15:07:00]"/>
  </r>
  <r>
    <s v="3638674-1458745662-216"/>
    <s v="Spot"/>
    <s v="3638674-1458745662-216"/>
    <n v="0"/>
    <d v="2016-03-31T00:00:00"/>
    <x v="312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8674-1458745662-216] [23/03/2016 at 15:07:00]"/>
  </r>
  <r>
    <s v="3638671-1458745648-119"/>
    <s v="Spot"/>
    <s v="3638671-1458745648-119"/>
    <n v="0"/>
    <d v="2016-03-31T00:00:00"/>
    <x v="313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8671-1458745648-119] [23/03/2016 at 15:07:00]"/>
  </r>
  <r>
    <s v="3638662-1458745632-199"/>
    <s v="Spot"/>
    <s v="3638662-1458745632-199"/>
    <n v="0"/>
    <d v="2016-03-31T00:00:00"/>
    <x v="314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662-1458745632-199] [23/03/2016 at 15:07:00]"/>
  </r>
  <r>
    <s v="3638659-1458745629-145"/>
    <s v="Spot"/>
    <s v="3638659-1458745629-145"/>
    <n v="0"/>
    <d v="2016-03-31T00:00:00"/>
    <x v="315"/>
    <s v="145"/>
    <s v="SELL"/>
    <n v="9.9507585177816456"/>
    <x v="0"/>
    <x v="1"/>
    <n v="400.12"/>
    <s v="Deal"/>
    <m/>
    <s v="Original Amount [EUR 40.21], Merchant Amount [EUR 40.21], Customer Amount [NOK 400.12], Status [APPROVED], Operation [DIRECT], UUID [3638659-1458745629-145] [23/03/2016 at 15:07:00]"/>
  </r>
  <r>
    <s v="3638653-1458745624-224"/>
    <s v="Spot"/>
    <s v="3638653-1458745624-224"/>
    <n v="0"/>
    <d v="2016-03-31T00:00:00"/>
    <x v="316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8653-1458745624-224] [23/03/2016 at 15:07:00]"/>
  </r>
  <r>
    <s v="3638650-1458745624-187"/>
    <s v="Spot"/>
    <s v="3638650-1458745624-187"/>
    <n v="0"/>
    <d v="2016-03-31T00:00:00"/>
    <x v="317"/>
    <s v="187"/>
    <s v="SELL"/>
    <n v="9.9506666666666668"/>
    <x v="0"/>
    <x v="1"/>
    <n v="298.52"/>
    <s v="Deal"/>
    <m/>
    <s v="Original Amount [EUR 30], Merchant Amount [EUR 30], Customer Amount [NOK 298.52], Status [APPROVED], Operation [DIRECT], UUID [3638650-1458745624-187] [23/03/2016 at 15:07:00]"/>
  </r>
  <r>
    <s v="3638635-1458745612-145"/>
    <s v="Spot"/>
    <s v="3638635-1458745612-145"/>
    <n v="0"/>
    <d v="2016-03-31T00:00:00"/>
    <x v="318"/>
    <s v="145"/>
    <s v="SELL"/>
    <n v="9.9505978602894913"/>
    <x v="0"/>
    <x v="1"/>
    <n v="632.46"/>
    <s v="Deal"/>
    <m/>
    <s v="Original Amount [EUR 63.56], Merchant Amount [EUR 63.56], Customer Amount [NOK 632.46], Status [APPROVED], Operation [DIRECT], UUID [3638635-1458745612-145] [23/03/2016 at 15:06:00]"/>
  </r>
  <r>
    <s v="3638641-1458745614-200"/>
    <s v="Spot"/>
    <s v="3638641-1458745614-200"/>
    <n v="0"/>
    <d v="2016-03-31T00:00:00"/>
    <x v="319"/>
    <s v="200"/>
    <s v="SELL"/>
    <n v="9.9506062767475036"/>
    <x v="0"/>
    <x v="1"/>
    <n v="558.03"/>
    <s v="Deal"/>
    <m/>
    <s v="Original Amount [EUR 56.08], Merchant Amount [EUR 56.08], Customer Amount [NOK 558.03], Status [APPROVED], Operation [3DAUTH], UUID [3638641-1458745614-200] [23/03/2016 at 15:06:00]"/>
  </r>
  <r>
    <s v="3638632-1458745609-102"/>
    <s v="Spot"/>
    <s v="3638632-1458745609-102"/>
    <n v="0"/>
    <d v="2016-03-31T00:00:00"/>
    <x v="320"/>
    <s v="102"/>
    <s v="SELL"/>
    <n v="3.3922580645161289"/>
    <x v="0"/>
    <x v="0"/>
    <n v="52.58"/>
    <s v="Deal"/>
    <m/>
    <s v="Original Amount [EUR 15.5], Merchant Amount [EUR 15.5], Customer Amount [TRY 52.58], Status [APPROVED], Operation [3DAUTH], UUID [3638632-1458745609-102] [23/03/2016 at 15:06:00]"/>
  </r>
  <r>
    <s v="3638602-1458745572-125"/>
    <s v="Spot"/>
    <s v="3638602-1458745572-125"/>
    <n v="0"/>
    <d v="2016-03-31T00:00:00"/>
    <x v="321"/>
    <s v="125"/>
    <s v="SELL"/>
    <n v="9.9505999999999997"/>
    <x v="0"/>
    <x v="1"/>
    <n v="497.53"/>
    <s v="Deal"/>
    <m/>
    <s v="Original Amount [EUR 50], Merchant Amount [EUR 50], Customer Amount [NOK 497.53], Status [APPROVED], Operation [DIRECT], UUID [3638602-1458745572-125] [23/03/2016 at 15:06:00]"/>
  </r>
  <r>
    <s v="3638644-1458745617-216"/>
    <s v="Spot"/>
    <s v="3638644-1458745617-216"/>
    <n v="0"/>
    <d v="2016-03-31T00:00:00"/>
    <x v="32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8644-1458745617-216] [23/03/2016 at 15:06:00]"/>
  </r>
  <r>
    <s v="3638626-1458745602-107"/>
    <s v="Spot"/>
    <s v="3638626-1458745602-107"/>
    <n v="0"/>
    <d v="2016-03-31T00:00:00"/>
    <x v="323"/>
    <s v="107"/>
    <s v="SELL"/>
    <n v="3.3960113960113962"/>
    <x v="0"/>
    <x v="0"/>
    <n v="35.76"/>
    <s v="Deal"/>
    <m/>
    <s v="Original Amount [EUR 10.53], Merchant Amount [EUR 10.53], Customer Amount [TRY 35.76], Status [APPROVED], Operation [3DAUTH], UUID [3638626-1458745602-107] [23/03/2016 at 15:06:00]"/>
  </r>
  <r>
    <s v="3638590-1458745548-187"/>
    <s v="Spot"/>
    <s v="3638590-1458745548-187"/>
    <n v="0"/>
    <d v="2016-03-31T00:00:00"/>
    <x v="32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38590-1458745548-187] [23/03/2016 at 15:05:00]"/>
  </r>
  <r>
    <s v="3638608-1458745587-56"/>
    <s v="Spot"/>
    <s v="3638608-1458745587-56"/>
    <n v="0"/>
    <d v="2016-03-31T00:00:00"/>
    <x v="325"/>
    <s v="56"/>
    <s v="SELL"/>
    <n v="3.3953633110315855"/>
    <x v="0"/>
    <x v="0"/>
    <n v="218.22"/>
    <s v="Deal"/>
    <m/>
    <s v="Original Amount [EUR 64.27], Merchant Amount [EUR 64.27], Customer Amount [TRY 218.22], Status [APPROVED], Operation [3DAUTH], UUID [3638608-1458745587-56] [23/03/2016 at 15:06:00]"/>
  </r>
  <r>
    <s v="3638584-1458745546-126"/>
    <s v="Spot"/>
    <s v="3638584-1458745546-126"/>
    <n v="0"/>
    <d v="2016-03-31T00:00:00"/>
    <x v="32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8584-1458745546-126] [23/03/2016 at 15:05:00]"/>
  </r>
  <r>
    <s v="3638569-1458745537-145"/>
    <s v="Spot"/>
    <s v="3638569-1458745537-145"/>
    <n v="0"/>
    <d v="2016-03-31T00:00:00"/>
    <x v="327"/>
    <s v="145"/>
    <s v="SELL"/>
    <n v="9.9505978602894913"/>
    <x v="0"/>
    <x v="1"/>
    <n v="316.23"/>
    <s v="Deal"/>
    <m/>
    <s v="Original Amount [EUR 31.78], Merchant Amount [EUR 31.78], Customer Amount [NOK 316.23], Status [APPROVED], Operation [DIRECT], UUID [3638569-1458745537-145] [23/03/2016 at 15:05:00]"/>
  </r>
  <r>
    <s v="3638566-1458745528-119"/>
    <s v="Spot"/>
    <s v="3638566-1458745528-119"/>
    <n v="0"/>
    <d v="2016-03-31T00:00:00"/>
    <x v="32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8566-1458745528-119] [23/03/2016 at 15:05:00]"/>
  </r>
  <r>
    <s v="3638575-1458745541-150"/>
    <s v="Spot"/>
    <s v="3638575-1458745541-150"/>
    <n v="0"/>
    <d v="2016-03-31T00:00:00"/>
    <x v="329"/>
    <s v="150"/>
    <s v="SELL"/>
    <n v="3.3953837895866879"/>
    <x v="0"/>
    <x v="0"/>
    <n v="316.27999999999997"/>
    <s v="Deal"/>
    <m/>
    <s v="Original Amount [EUR 93.15], Merchant Amount [EUR 93.15], Customer Amount [TRY 316.28], Status [APPROVED], Operation [3DAUTH], UUID [3638575-1458745541-150] [23/03/2016 at 15:05:00]"/>
  </r>
  <r>
    <s v="3638557-1458745520-82"/>
    <s v="Spot"/>
    <s v="3638557-1458745520-82"/>
    <n v="0"/>
    <d v="2016-03-31T00:00:00"/>
    <x v="33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8557-1458745520-82] [23/03/2016 at 15:05:00]"/>
  </r>
  <r>
    <s v="3638593-1458745550-179"/>
    <s v="Spot"/>
    <s v="3638593-1458745550-179"/>
    <n v="0"/>
    <d v="2016-03-31T00:00:00"/>
    <x v="331"/>
    <s v="179"/>
    <s v="SELL"/>
    <n v="3.3954384837777067"/>
    <x v="0"/>
    <x v="0"/>
    <n v="211.4"/>
    <s v="Deal"/>
    <m/>
    <s v="Original Amount [EUR 62.26], Merchant Amount [EUR 62.26], Customer Amount [TRY 211.4], Status [APPROVED], Operation [3DAUTH], UUID [3638593-1458745550-179] [23/03/2016 at 15:05:00]"/>
  </r>
  <r>
    <s v="3638536-1458745512-261"/>
    <s v="Spot"/>
    <s v="3638536-1458745512-261"/>
    <n v="0"/>
    <d v="2016-03-31T00:00:00"/>
    <x v="332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8536-1458745512-261] [23/03/2016 at 15:05:00]"/>
  </r>
  <r>
    <s v="3638506-1458745486-199"/>
    <s v="Spot"/>
    <s v="3638506-1458745486-199"/>
    <n v="0"/>
    <d v="2016-03-31T00:00:00"/>
    <x v="333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8506-1458745486-199] [23/03/2016 at 15:04:00]"/>
  </r>
  <r>
    <s v="3638503-1458745485-125"/>
    <s v="Spot"/>
    <s v="3638503-1458745485-125"/>
    <n v="0"/>
    <d v="2016-03-31T00:00:00"/>
    <x v="334"/>
    <s v="125"/>
    <s v="SELL"/>
    <n v="9.950615384615384"/>
    <x v="0"/>
    <x v="1"/>
    <n v="1293.58"/>
    <s v="Deal"/>
    <m/>
    <s v="Original Amount [EUR 130], Merchant Amount [EUR 130], Customer Amount [NOK 1293.58], Status [APPROVED], Operation [DIRECT], UUID [3638503-1458745485-125] [23/03/2016 at 15:04:00]"/>
  </r>
  <r>
    <s v="3638527-1458745502-179"/>
    <s v="Spot"/>
    <s v="3638527-1458745502-179"/>
    <n v="0"/>
    <d v="2016-03-31T00:00:00"/>
    <x v="335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8527-1458745502-179] [23/03/2016 at 15:05:00]"/>
  </r>
  <r>
    <s v="3638518-1458745495-216"/>
    <s v="Spot"/>
    <s v="3638518-1458745495-216"/>
    <n v="0"/>
    <d v="2016-03-31T00:00:00"/>
    <x v="336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518-1458745495-216] [23/03/2016 at 15:04:00]"/>
  </r>
  <r>
    <s v="3638515-1458745489-216"/>
    <s v="Spot"/>
    <s v="3638515-1458745489-216"/>
    <n v="0"/>
    <d v="2016-03-31T00:00:00"/>
    <x v="337"/>
    <s v="216"/>
    <s v="SELL"/>
    <n v="3.3957621326042378"/>
    <x v="0"/>
    <x v="0"/>
    <n v="49.68"/>
    <s v="Deal"/>
    <m/>
    <s v="Original Amount [EUR 14.63], Merchant Amount [EUR 14.63], Customer Amount [TRY 49.68], Status [APPROVED], Operation [3DAUTH], UUID [3638515-1458745489-216] [23/03/2016 at 15:04:00]"/>
  </r>
  <r>
    <s v="3638524-1458745498-216"/>
    <s v="Spot"/>
    <s v="3638524-1458745498-216"/>
    <n v="0"/>
    <d v="2016-03-31T00:00:00"/>
    <x v="338"/>
    <s v="216"/>
    <s v="SELL"/>
    <n v="3.3954318344039973"/>
    <x v="0"/>
    <x v="0"/>
    <n v="47.57"/>
    <s v="Deal"/>
    <m/>
    <s v="Original Amount [EUR 14.01], Merchant Amount [EUR 14.01], Customer Amount [TRY 47.57], Status [APPROVED], Operation [3DAUTH], UUID [3638524-1458745498-216] [23/03/2016 at 15:04:00]"/>
  </r>
  <r>
    <s v="3638464-1458745430-200"/>
    <s v="Spot"/>
    <s v="3638464-1458745430-200"/>
    <n v="0"/>
    <d v="2016-03-31T00:00:00"/>
    <x v="339"/>
    <s v="200"/>
    <s v="SELL"/>
    <n v="9.9506666666666668"/>
    <x v="0"/>
    <x v="1"/>
    <n v="298.52"/>
    <s v="Deal"/>
    <m/>
    <s v="Original Amount [EUR 30], Merchant Amount [EUR 30], Customer Amount [NOK 298.52], Status [APPROVED], Operation [DIRECT], UUID [3638464-1458745430-200] [23/03/2016 at 15:03:00]"/>
  </r>
  <r>
    <s v="3638461-1458745429-56"/>
    <s v="Spot"/>
    <s v="3638461-1458745429-56"/>
    <n v="0"/>
    <d v="2016-03-31T00:00:00"/>
    <x v="340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8461-1458745429-56] [23/03/2016 at 15:03:00]"/>
  </r>
  <r>
    <s v="3638443-1458745404-216"/>
    <s v="Spot"/>
    <s v="3638443-1458745404-216"/>
    <n v="0"/>
    <d v="2016-03-31T00:00:00"/>
    <x v="341"/>
    <s v="216"/>
    <s v="SELL"/>
    <n v="3.3957759412304864"/>
    <x v="0"/>
    <x v="0"/>
    <n v="36.979999999999997"/>
    <s v="Deal"/>
    <m/>
    <s v="Original Amount [EUR 10.89], Merchant Amount [EUR 10.89], Customer Amount [TRY 36.98], Status [WAITING], Operation [3D], UUID [3638443-1458745404-216] [23/03/2016 at 15:03:00]"/>
  </r>
  <r>
    <s v="3638440-1458745403-224"/>
    <s v="Spot"/>
    <s v="3638440-1458745403-224"/>
    <n v="0"/>
    <d v="2016-03-31T00:00:00"/>
    <x v="342"/>
    <s v="224"/>
    <s v="SELL"/>
    <n v="133.03553506035536"/>
    <x v="0"/>
    <x v="3"/>
    <n v="29426.13"/>
    <s v="Deal"/>
    <m/>
    <s v="Original Amount [EUR 221.19], Merchant Amount [EUR 221.19], Customer Amount [JPY 29426.13], Status [APPROVED], Operation [DIRECT], UUID [3638440-1458745403-224] [23/03/2016 at 15:03:00]"/>
  </r>
  <r>
    <s v="3638431-1458745393-224"/>
    <s v="Spot"/>
    <s v="3638431-1458745393-224"/>
    <n v="0"/>
    <d v="2016-03-31T00:00:00"/>
    <x v="343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38431-1458745393-224] [23/03/2016 at 15:03:00]"/>
  </r>
  <r>
    <s v="3638446-1458745409-216"/>
    <s v="Spot"/>
    <s v="3638446-1458745409-216"/>
    <n v="0"/>
    <d v="2016-03-31T00:00:00"/>
    <x v="344"/>
    <s v="216"/>
    <s v="SELL"/>
    <n v="3.3953413654618476"/>
    <x v="0"/>
    <x v="0"/>
    <n v="211.36"/>
    <s v="Deal"/>
    <m/>
    <s v="Original Amount [EUR 62.25], Merchant Amount [EUR 62.25], Customer Amount [TRY 211.36], Status [APPROVED], Operation [3DAUTH], UUID [3638446-1458745409-216] [23/03/2016 at 15:03:00]"/>
  </r>
  <r>
    <s v="3638425-1458745384-224"/>
    <s v="Spot"/>
    <s v="3638425-1458745384-224"/>
    <n v="0"/>
    <d v="2016-03-31T00:00:00"/>
    <x v="345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8425-1458745384-224] [23/03/2016 at 15:03:00]"/>
  </r>
  <r>
    <s v="3638422-1458745381-224"/>
    <s v="Spot"/>
    <s v="3638422-1458745381-224"/>
    <n v="0"/>
    <d v="2016-03-31T00:00:00"/>
    <x v="346"/>
    <s v="224"/>
    <s v="SELL"/>
    <n v="9.9551155115511545"/>
    <x v="0"/>
    <x v="1"/>
    <n v="150.82"/>
    <s v="Deal"/>
    <m/>
    <s v="Original Amount [EUR 15.15], Merchant Amount [EUR 15.15], Customer Amount [NOK 150.82], Status [APPROVED], Operation [DIRECT], UUID [3638422-1458745381-224] [23/03/2016 at 15:03:00]"/>
  </r>
  <r>
    <s v="3638413-1458745373-224"/>
    <s v="Spot"/>
    <s v="3638413-1458745373-224"/>
    <n v="0"/>
    <d v="2016-03-31T00:00:00"/>
    <x v="347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8413-1458745373-224] [23/03/2016 at 15:02:00]"/>
  </r>
  <r>
    <s v="3638482-1458745459-216"/>
    <s v="Spot"/>
    <s v="3638482-1458745459-216"/>
    <n v="0"/>
    <d v="2016-03-31T00:00:00"/>
    <x v="348"/>
    <s v="216"/>
    <s v="SELL"/>
    <n v="3.3955655526992286"/>
    <x v="0"/>
    <x v="0"/>
    <n v="105.67"/>
    <s v="Deal"/>
    <m/>
    <s v="Original Amount [EUR 31.12], Merchant Amount [EUR 31.12], Customer Amount [TRY 105.67], Status [APPROVED], Operation [3DAUTH], UUID [3638482-1458745459-216] [23/03/2016 at 15:04:00]"/>
  </r>
  <r>
    <s v="3638407-1458745367-126"/>
    <s v="Spot"/>
    <s v="3638407-1458745367-126"/>
    <n v="0"/>
    <d v="2016-03-31T00:00:00"/>
    <x v="349"/>
    <s v="126"/>
    <s v="SELL"/>
    <n v="9.954675846242111"/>
    <x v="0"/>
    <x v="1"/>
    <n v="173.51"/>
    <s v="Deal"/>
    <m/>
    <s v="Original Amount [EUR 17.43], Merchant Amount [EUR 17.43], Customer Amount [NOK 173.51], Status [APPROVED], Operation [DIRECT], UUID [3638407-1458745367-126] [23/03/2016 at 15:02:00]"/>
  </r>
  <r>
    <s v="3638404-1458745364-211"/>
    <s v="Spot"/>
    <s v="3638404-1458745364-211"/>
    <n v="0"/>
    <d v="2016-03-31T00:00:00"/>
    <x v="350"/>
    <s v="211"/>
    <s v="SELL"/>
    <n v="3.3955857385398982"/>
    <x v="0"/>
    <x v="0"/>
    <n v="100"/>
    <s v="Deal"/>
    <m/>
    <s v="Original Amount [EUR 29.45], Merchant Amount [EUR 29.45], Customer Amount [TRY 100], Status [WAITING], Operation [3D], UUID [3638404-1458745364-211] [23/03/2016 at 15:02:00]"/>
  </r>
  <r>
    <s v="3638401-1458745361-82"/>
    <s v="Spot"/>
    <s v="3638401-1458745361-82"/>
    <n v="0"/>
    <d v="2016-03-31T00:00:00"/>
    <x v="351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8401-1458745361-82] [23/03/2016 at 15:02:00]"/>
  </r>
  <r>
    <s v="3638398-1458745353-145"/>
    <s v="Spot"/>
    <s v="3638398-1458745353-145"/>
    <n v="0"/>
    <d v="2016-03-31T00:00:00"/>
    <x v="35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38398-1458745353-145] [23/03/2016 at 15:02:00]"/>
  </r>
  <r>
    <s v="3638392-1458745350-187"/>
    <s v="Spot"/>
    <s v="3638392-1458745350-187"/>
    <n v="0"/>
    <d v="2016-03-31T00:00:00"/>
    <x v="353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92-1458745350-187] [23/03/2016 at 15:02:00]"/>
  </r>
  <r>
    <s v="3638416-1458745373-107"/>
    <s v="Spot"/>
    <s v="3638416-1458745373-107"/>
    <n v="0"/>
    <d v="2016-03-31T00:00:00"/>
    <x v="354"/>
    <s v="107"/>
    <s v="SELL"/>
    <n v="3.3961605584642234"/>
    <x v="0"/>
    <x v="0"/>
    <n v="38.92"/>
    <s v="Deal"/>
    <m/>
    <s v="Original Amount [EUR 11.46], Merchant Amount [EUR 11.46], Customer Amount [TRY 38.92], Status [APPROVED], Operation [3DAUTH], UUID [3638416-1458745373-107] [23/03/2016 at 15:02:00]"/>
  </r>
  <r>
    <s v="3638356-1458745323-216"/>
    <s v="Spot"/>
    <s v="3638356-1458745323-216"/>
    <n v="0"/>
    <d v="2016-03-31T00:00:00"/>
    <x v="355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356-1458745323-216] [23/03/2016 at 15:02:00]"/>
  </r>
  <r>
    <s v="3638353-1458745322-261"/>
    <s v="Spot"/>
    <s v="3638353-1458745322-261"/>
    <n v="0"/>
    <d v="2016-03-31T00:00:00"/>
    <x v="356"/>
    <s v="261"/>
    <s v="SELL"/>
    <n v="9.9549702633814796"/>
    <x v="0"/>
    <x v="1"/>
    <n v="117.17"/>
    <s v="Deal"/>
    <m/>
    <s v="Original Amount [EUR 11.77], Merchant Amount [EUR 11.77], Customer Amount [NOK 117.17], Status [APPROVED], Operation [DIRECT], UUID [3638353-1458745322-261] [23/03/2016 at 15:02:00]"/>
  </r>
  <r>
    <s v="3638344-1458745320-199"/>
    <s v="Spot"/>
    <s v="3638344-1458745320-199"/>
    <n v="0"/>
    <d v="2016-03-31T00:00:00"/>
    <x v="357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8344-1458745320-199] [23/03/2016 at 15:02:00]"/>
  </r>
  <r>
    <s v="3638338-1458745317-187"/>
    <s v="Spot"/>
    <s v="3638338-1458745317-187"/>
    <n v="0"/>
    <d v="2016-03-31T00:00:00"/>
    <x v="35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8338-1458745317-187] [23/03/2016 at 15:01:00]"/>
  </r>
  <r>
    <s v="3638377-1458745343-216"/>
    <s v="Spot"/>
    <s v="3638377-1458745343-216"/>
    <n v="0"/>
    <d v="2016-03-31T00:00:00"/>
    <x v="359"/>
    <s v="216"/>
    <s v="SELL"/>
    <n v="3.3955240416574339"/>
    <x v="0"/>
    <x v="0"/>
    <n v="153.24"/>
    <s v="Deal"/>
    <m/>
    <s v="Original Amount [EUR 45.13], Merchant Amount [EUR 45.13], Customer Amount [TRY 153.24], Status [APPROVED], Operation [3DAUTH], UUID [3638377-1458745343-216] [23/03/2016 at 15:02:00]"/>
  </r>
  <r>
    <s v="3638326-1458745305-199"/>
    <s v="Spot"/>
    <s v="3638326-1458745305-199"/>
    <n v="0"/>
    <d v="2016-03-31T00:00:00"/>
    <x v="360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8326-1458745305-199] [23/03/2016 at 15:01:00]"/>
  </r>
  <r>
    <s v="3638320-1458745301-145"/>
    <s v="Spot"/>
    <s v="3638320-1458745301-145"/>
    <n v="0"/>
    <d v="2016-03-31T00:00:00"/>
    <x v="361"/>
    <s v="145"/>
    <s v="SELL"/>
    <n v="1.5435809539734962"/>
    <x v="0"/>
    <x v="2"/>
    <n v="369.24"/>
    <s v="Deal"/>
    <m/>
    <s v="Original Amount [EUR 239.21], Merchant Amount [EUR 239.21], Customer Amount [CAD 369.24], Status [APPROVED], Operation [DIRECT], UUID [3638320-1458745301-145] [23/03/2016 at 15:01:00]"/>
  </r>
  <r>
    <s v="3638359-1458745323-56"/>
    <s v="Spot"/>
    <s v="3638359-1458745323-56"/>
    <n v="0"/>
    <d v="2016-03-31T00:00:00"/>
    <x v="362"/>
    <s v="56"/>
    <s v="SELL"/>
    <n v="3.3954486904250754"/>
    <x v="0"/>
    <x v="0"/>
    <n v="158.16"/>
    <s v="Deal"/>
    <m/>
    <s v="Original Amount [EUR 46.58], Merchant Amount [EUR 46.58], Customer Amount [TRY 158.16], Status [APPROVED], Operation [3DAUTH], UUID [3638359-1458745323-56] [23/03/2016 at 15:02:00]"/>
  </r>
  <r>
    <s v="3638305-1458745288-171"/>
    <s v="Spot"/>
    <s v="3638305-1458745288-171"/>
    <n v="0"/>
    <d v="2016-03-31T00:00:00"/>
    <x v="363"/>
    <s v="171"/>
    <s v="SELL"/>
    <n v="1.5440528634361235"/>
    <x v="0"/>
    <x v="2"/>
    <n v="21.03"/>
    <s v="Deal"/>
    <m/>
    <s v="Original Amount [EUR 13.62], Merchant Amount [EUR 13.62], Customer Amount [CAD 21.03], Status [WAITING], Operation [3D], UUID [3638305-1458745288-171] [23/03/2016 at 15:01:00]"/>
  </r>
  <r>
    <s v="3638302-1458745283-187"/>
    <s v="Spot"/>
    <s v="3638302-1458745283-187"/>
    <n v="0"/>
    <d v="2016-03-31T00:00:00"/>
    <x v="364"/>
    <s v="187"/>
    <s v="SELL"/>
    <n v="9.9546242319205938"/>
    <x v="0"/>
    <x v="1"/>
    <n v="1263.6400000000001"/>
    <s v="Deal"/>
    <m/>
    <s v="Original Amount [EUR 126.94], Merchant Amount [EUR 126.94], Customer Amount [NOK 1263.64], Status [APPROVED], Operation [DIRECT], UUID [3638302-1458745283-187] [23/03/2016 at 15:01:00]"/>
  </r>
  <r>
    <s v="3638323-1458745302-145"/>
    <s v="Spot"/>
    <s v="3638323-1458745302-145"/>
    <n v="0"/>
    <d v="2016-03-31T00:00:00"/>
    <x v="365"/>
    <s v="145"/>
    <s v="SELL"/>
    <n v="1.5443902439024391"/>
    <x v="0"/>
    <x v="2"/>
    <n v="15.83"/>
    <s v="Deal"/>
    <m/>
    <s v="Original Amount [EUR 10.25], Merchant Amount [EUR 10.25], Customer Amount [CAD 15.83], Status [APPROVED], Operation [3DAUTH], UUID [3638323-1458745302-145] [23/03/2016 at 15:01:00]"/>
  </r>
  <r>
    <s v="3638296-1458745279-119"/>
    <s v="Spot"/>
    <s v="3638296-1458745279-119"/>
    <n v="0"/>
    <d v="2016-03-31T00:00:00"/>
    <x v="3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8296-1458745279-119] [23/03/2016 at 15:01:00]"/>
  </r>
  <r>
    <s v="3638311-1458745293-216"/>
    <s v="Spot"/>
    <s v="3638311-1458745293-216"/>
    <n v="0"/>
    <d v="2016-03-31T00:00:00"/>
    <x v="367"/>
    <s v="216"/>
    <s v="SELL"/>
    <n v="3.3959839357429722"/>
    <x v="0"/>
    <x v="0"/>
    <n v="42.28"/>
    <s v="Deal"/>
    <m/>
    <s v="Original Amount [EUR 12.45], Merchant Amount [EUR 12.45], Customer Amount [TRY 42.28], Status [APPROVED], Operation [3DAUTH], UUID [3638311-1458745293-216] [23/03/2016 at 15:01:00]"/>
  </r>
  <r>
    <s v="3638290-1458745273-199"/>
    <s v="Spot"/>
    <s v="3638290-1458745273-199"/>
    <n v="0"/>
    <d v="2016-03-31T00:00:00"/>
    <x v="368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8290-1458745273-199] [23/03/2016 at 15:01:00]"/>
  </r>
  <r>
    <s v="3638287-1458745269-82"/>
    <s v="Spot"/>
    <s v="3638287-1458745269-82"/>
    <n v="0"/>
    <d v="2016-03-31T00:00:00"/>
    <x v="369"/>
    <s v="82"/>
    <s v="SELL"/>
    <n v="1.1846117757447805"/>
    <x v="0"/>
    <x v="7"/>
    <n v="50.5"/>
    <s v="Deal"/>
    <m/>
    <s v="Original Amount [USD 50.5], Merchant Amount [EUR 42.63], Customer Amount [USD 50.5], Status [APPROVED], Operation [DIRECT], UUID [3638287-1458745269-82] [23/03/2016 at 15:01:00]"/>
  </r>
  <r>
    <s v="3638362-1458745327-56"/>
    <s v="Spot"/>
    <s v="3638362-1458745327-56"/>
    <n v="0"/>
    <d v="2016-03-31T00:00:00"/>
    <x v="370"/>
    <s v="56"/>
    <s v="SELL"/>
    <n v="3.3953946686028424"/>
    <x v="0"/>
    <x v="0"/>
    <n v="327.35000000000002"/>
    <s v="Deal"/>
    <m/>
    <s v="Original Amount [EUR 96.41], Merchant Amount [EUR 96.41], Customer Amount [TRY 327.35], Status [APPROVED], Operation [3DAUTH], UUID [3638362-1458745327-56] [23/03/2016 at 15:02:00]"/>
  </r>
  <r>
    <s v="3638278-1458745252-187"/>
    <s v="Spot"/>
    <s v="3638278-1458745252-187"/>
    <n v="0"/>
    <d v="2016-03-31T00:00:00"/>
    <x v="371"/>
    <s v="187"/>
    <s v="SELL"/>
    <n v="9.9550827423167849"/>
    <x v="0"/>
    <x v="1"/>
    <n v="126.33"/>
    <s v="Deal"/>
    <m/>
    <s v="Original Amount [EUR 12.69], Merchant Amount [EUR 12.69], Customer Amount [NOK 126.33], Status [APPROVED], Operation [DIRECT], UUID [3638278-1458745252-187] [23/03/2016 at 15:00:00]"/>
  </r>
  <r>
    <s v="3638272-1458745249-216"/>
    <s v="Spot"/>
    <s v="3638272-1458745249-216"/>
    <n v="0"/>
    <d v="2016-03-31T00:00:00"/>
    <x v="372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8272-1458745249-216] [23/03/2016 at 15:00:00]"/>
  </r>
  <r>
    <s v="3638266-1458745240-199"/>
    <s v="Spot"/>
    <s v="3638266-1458745240-199"/>
    <n v="0"/>
    <d v="2016-03-31T00:00:00"/>
    <x v="373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8266-1458745240-199] [23/03/2016 at 15:00:00]"/>
  </r>
  <r>
    <s v="3638263-1458745234-126"/>
    <s v="Spot"/>
    <s v="3638263-1458745234-126"/>
    <n v="0"/>
    <d v="2016-03-31T00:00:00"/>
    <x v="374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8263-1458745234-126] [23/03/2016 at 15:00:00]"/>
  </r>
  <r>
    <s v="3638251-1458745222-199"/>
    <s v="Spot"/>
    <s v="3638251-1458745222-199"/>
    <n v="0"/>
    <d v="2016-03-31T00:00:00"/>
    <x v="37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8251-1458745222-199] [23/03/2016 at 15:00:00]"/>
  </r>
  <r>
    <s v="3638245-1458745220-224"/>
    <s v="Spot"/>
    <s v="3638245-1458745220-224"/>
    <n v="0"/>
    <d v="2016-03-31T00:00:00"/>
    <x v="376"/>
    <s v="224"/>
    <s v="SELL"/>
    <n v="132.99341816586224"/>
    <x v="0"/>
    <x v="3"/>
    <n v="3030.92"/>
    <s v="Deal"/>
    <m/>
    <s v="Original Amount [EUR 22.79], Merchant Amount [EUR 22.79], Customer Amount [JPY 3030.92], Status [APPROVED], Operation [DIRECT], UUID [3638245-1458745220-224] [23/03/2016 at 15:00:00]"/>
  </r>
  <r>
    <s v="3638275-1458745250-216"/>
    <s v="Spot"/>
    <s v="3638275-1458745250-216"/>
    <n v="0"/>
    <d v="2016-03-31T00:00:00"/>
    <x v="377"/>
    <s v="216"/>
    <s v="SELL"/>
    <n v="3.3953737417005785"/>
    <x v="0"/>
    <x v="0"/>
    <n v="158.53"/>
    <s v="Deal"/>
    <m/>
    <s v="Original Amount [EUR 46.69], Merchant Amount [EUR 46.69], Customer Amount [TRY 158.53], Status [APPROVED], Operation [3DAUTH], UUID [3638275-1458745250-216] [23/03/2016 at 15:00:00]"/>
  </r>
  <r>
    <s v="3638239-1458745213-56"/>
    <s v="Spot"/>
    <s v="3638239-1458745213-56"/>
    <n v="0"/>
    <d v="2016-03-31T00:00:00"/>
    <x v="37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8239-1458745213-56] [23/03/2016 at 15:00:00]"/>
  </r>
  <r>
    <s v="3638236-1458745211-199"/>
    <s v="Spot"/>
    <s v="3638236-1458745211-199"/>
    <n v="0"/>
    <d v="2016-03-31T00:00:00"/>
    <x v="379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38236-1458745211-199] [23/03/2016 at 15:00:00]"/>
  </r>
  <r>
    <s v="3638257-1458745226-216"/>
    <s v="Spot"/>
    <s v="3638257-1458745226-216"/>
    <n v="0"/>
    <d v="2016-03-31T00:00:00"/>
    <x v="380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38257-1458745226-216] [23/03/2016 at 15:00:00]"/>
  </r>
  <r>
    <s v="3638233-1458745208-107"/>
    <s v="Spot"/>
    <s v="3638233-1458745208-107"/>
    <n v="0"/>
    <d v="2016-03-31T00:00:00"/>
    <x v="381"/>
    <s v="107"/>
    <s v="SELL"/>
    <n v="3.3878400000000002"/>
    <x v="0"/>
    <x v="0"/>
    <n v="846.96"/>
    <s v="Deal"/>
    <m/>
    <s v="Original Amount [EUR 250], Merchant Amount [EUR 250], Customer Amount [TRY 846.96], Status [APPROVED], Operation [3DAUTH], UUID [3638233-1458745208-107] [23/03/2016 at 15:00:00]"/>
  </r>
  <r>
    <s v="3638248-1458745220-216"/>
    <s v="Spot"/>
    <s v="3638248-1458745220-216"/>
    <n v="0"/>
    <d v="2016-03-31T00:00:00"/>
    <x v="382"/>
    <s v="216"/>
    <s v="SELL"/>
    <n v="3.3879518072289159"/>
    <x v="0"/>
    <x v="0"/>
    <n v="84.36"/>
    <s v="Deal"/>
    <m/>
    <s v="Original Amount [EUR 24.9], Merchant Amount [EUR 24.9], Customer Amount [TRY 84.36], Status [APPROVED], Operation [3DAUTH], UUID [3638248-1458745220-216] [23/03/2016 at 15:00:00]"/>
  </r>
  <r>
    <s v="3638200-1458745178-171"/>
    <s v="Spot"/>
    <s v="3638200-1458745178-171"/>
    <n v="0"/>
    <d v="2016-03-31T00:00:00"/>
    <x v="383"/>
    <s v="171"/>
    <s v="SELL"/>
    <n v="1.5440658049353702"/>
    <x v="0"/>
    <x v="2"/>
    <n v="26.28"/>
    <s v="Deal"/>
    <m/>
    <s v="Original Amount [EUR 17.02], Merchant Amount [EUR 17.02], Customer Amount [CAD 26.28], Status [WAITING], Operation [3D], UUID [3638200-1458745178-171] [23/03/2016 at 14:59:00]"/>
  </r>
  <r>
    <s v="3638194-1458745172-224"/>
    <s v="Spot"/>
    <s v="3638194-1458745172-224"/>
    <n v="0"/>
    <d v="2016-03-31T00:00:00"/>
    <x v="384"/>
    <s v="224"/>
    <s v="SELL"/>
    <n v="133.03801169590645"/>
    <x v="0"/>
    <x v="3"/>
    <n v="1819.96"/>
    <s v="Deal"/>
    <m/>
    <s v="Original Amount [EUR 13.68], Merchant Amount [EUR 13.68], Customer Amount [JPY 1819.96], Status [APPROVED], Operation [DIRECT], UUID [3638194-1458745172-224] [23/03/2016 at 14:59:00]"/>
  </r>
  <r>
    <s v="3638215-1458745188-56"/>
    <s v="Spot"/>
    <s v="3638215-1458745188-56"/>
    <n v="0"/>
    <d v="2016-03-31T00:00:00"/>
    <x v="385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8215-1458745188-56] [23/03/2016 at 14:59:00]"/>
  </r>
  <r>
    <s v="3638260-1458745227-101"/>
    <s v="Spot"/>
    <s v="3638260-1458745227-101"/>
    <n v="0"/>
    <d v="2016-03-31T00:00:00"/>
    <x v="386"/>
    <s v="101"/>
    <s v="SELL"/>
    <n v="3.3880837359098228"/>
    <x v="0"/>
    <x v="0"/>
    <n v="84.16"/>
    <s v="Deal"/>
    <m/>
    <s v="Original Amount [EUR 24.84], Merchant Amount [EUR 24.84], Customer Amount [TRY 84.16], Status [APPROVED], Operation [3DAUTH], UUID [3638260-1458745227-101] [23/03/2016 at 15:00:00]"/>
  </r>
  <r>
    <s v="3638170-1458745145-145"/>
    <s v="Spot"/>
    <s v="3638170-1458745145-145"/>
    <n v="0"/>
    <d v="2016-03-31T00:00:00"/>
    <x v="387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8170-1458745145-145] [23/03/2016 at 14:59:00]"/>
  </r>
  <r>
    <s v="3638161-1458745137-224"/>
    <s v="Spot"/>
    <s v="3638161-1458745137-224"/>
    <n v="0"/>
    <d v="2016-03-31T00:00:00"/>
    <x v="388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8161-1458745137-224] [23/03/2016 at 14:58:00]"/>
  </r>
  <r>
    <s v="3638203-1458745183-179"/>
    <s v="Spot"/>
    <s v="3638203-1458745183-179"/>
    <n v="0"/>
    <d v="2016-03-31T00:00:00"/>
    <x v="389"/>
    <s v="179"/>
    <s v="SELL"/>
    <n v="3.3879371877230553"/>
    <x v="0"/>
    <x v="0"/>
    <n v="94.93"/>
    <s v="Deal"/>
    <m/>
    <s v="Original Amount [EUR 28.02], Merchant Amount [EUR 28.02], Customer Amount [TRY 94.93], Status [APPROVED], Operation [3DAUTH], UUID [3638203-1458745183-179] [23/03/2016 at 14:59:00]"/>
  </r>
  <r>
    <s v="3638146-1458745127-199"/>
    <s v="Spot"/>
    <s v="3638146-1458745127-199"/>
    <n v="0"/>
    <d v="2016-03-31T00:00:00"/>
    <x v="390"/>
    <s v="199"/>
    <s v="SELL"/>
    <n v="9.9506515109509284"/>
    <x v="0"/>
    <x v="1"/>
    <n v="358.92"/>
    <s v="Deal"/>
    <m/>
    <s v="Original Amount [EUR 36.07], Merchant Amount [EUR 36.07], Customer Amount [NOK 358.92], Status [APPROVED], Operation [DIRECT], UUID [3638146-1458745127-199] [23/03/2016 at 14:58:00]"/>
  </r>
  <r>
    <s v="3638140-1458745119-216"/>
    <s v="Spot"/>
    <s v="3638140-1458745119-216"/>
    <n v="0"/>
    <d v="2016-03-31T00:00:00"/>
    <x v="391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40-1458745119-216] [23/03/2016 at 14:58:00]"/>
  </r>
  <r>
    <s v="3638149-1458745129-203"/>
    <s v="Spot"/>
    <s v="3638149-1458745129-203"/>
    <n v="0"/>
    <d v="2016-03-31T00:00:00"/>
    <x v="392"/>
    <s v="203"/>
    <s v="SELL"/>
    <n v="3.3883870967741938"/>
    <x v="0"/>
    <x v="0"/>
    <n v="52.52"/>
    <s v="Deal"/>
    <m/>
    <s v="Original Amount [EUR 15.5], Merchant Amount [EUR 15.5], Customer Amount [TRY 52.52], Status [APPROVED], Operation [3DAUTH], UUID [3638149-1458745129-203] [23/03/2016 at 14:58:00]"/>
  </r>
  <r>
    <s v="3638119-1458745086-216"/>
    <s v="Spot"/>
    <s v="3638119-1458745086-216"/>
    <n v="0"/>
    <d v="2016-03-31T00:00:00"/>
    <x v="393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119-1458745086-216] [23/03/2016 at 14:58:00]"/>
  </r>
  <r>
    <s v="3638131-1458745105-216"/>
    <s v="Spot"/>
    <s v="3638131-1458745105-216"/>
    <n v="0"/>
    <d v="2016-03-31T00:00:00"/>
    <x v="394"/>
    <s v="216"/>
    <s v="SELL"/>
    <n v="3.3878774898265158"/>
    <x v="0"/>
    <x v="0"/>
    <n v="158.18"/>
    <s v="Deal"/>
    <m/>
    <s v="Original Amount [EUR 46.69], Merchant Amount [EUR 46.69], Customer Amount [TRY 158.18], Status [APPROVED], Operation [3DAUTH], UUID [3638131-1458745105-216] [23/03/2016 at 14:58:00]"/>
  </r>
  <r>
    <s v="3638104-1458745081-224"/>
    <s v="Spot"/>
    <s v="3638104-1458745081-224"/>
    <n v="0"/>
    <d v="2016-03-31T00:00:00"/>
    <x v="395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104-1458745081-224] [23/03/2016 at 14:58:00]"/>
  </r>
  <r>
    <s v="3638101-1458745080-199"/>
    <s v="Spot"/>
    <s v="3638101-1458745080-199"/>
    <n v="0"/>
    <d v="2016-03-31T00:00:00"/>
    <x v="39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8101-1458745080-199] [23/03/2016 at 14:58:00]"/>
  </r>
  <r>
    <s v="3638098-1458745073-199"/>
    <s v="Spot"/>
    <s v="3638098-1458745073-199"/>
    <n v="0"/>
    <d v="2016-03-31T00:00:00"/>
    <x v="397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8098-1458745073-199] [23/03/2016 at 14:57:00]"/>
  </r>
  <r>
    <s v="3638125-1458745098-216"/>
    <s v="Spot"/>
    <s v="3638125-1458745098-216"/>
    <n v="0"/>
    <d v="2016-03-31T00:00:00"/>
    <x v="398"/>
    <s v="216"/>
    <s v="SELL"/>
    <n v="3.387853470437018"/>
    <x v="0"/>
    <x v="0"/>
    <n v="105.43"/>
    <s v="Deal"/>
    <m/>
    <s v="Original Amount [EUR 31.12], Merchant Amount [EUR 31.12], Customer Amount [TRY 105.43], Status [APPROVED], Operation [3DAUTH], UUID [3638125-1458745098-216] [23/03/2016 at 14:58:00]"/>
  </r>
  <r>
    <s v="3638071-1458745056-187"/>
    <s v="Spot"/>
    <s v="3638071-1458745056-187"/>
    <n v="0"/>
    <d v="2016-03-31T00:00:00"/>
    <x v="399"/>
    <s v="187"/>
    <s v="SELL"/>
    <n v="9.9506026943984871"/>
    <x v="0"/>
    <x v="1"/>
    <n v="421.01"/>
    <s v="Deal"/>
    <m/>
    <s v="Original Amount [EUR 42.31], Merchant Amount [EUR 42.31], Customer Amount [NOK 421.01], Status [APPROVED], Operation [DIRECT], UUID [3638071-1458745056-187] [23/03/2016 at 14:57:00]"/>
  </r>
  <r>
    <s v="3638068-1458745053-199"/>
    <s v="Spot"/>
    <s v="3638068-1458745053-199"/>
    <n v="0"/>
    <d v="2016-03-31T00:00:00"/>
    <x v="400"/>
    <s v="199"/>
    <s v="SELL"/>
    <n v="9.9512195121951219"/>
    <x v="0"/>
    <x v="1"/>
    <n v="102"/>
    <s v="Deal"/>
    <m/>
    <s v="Original Amount [EUR 10.25], Merchant Amount [EUR 10.25], Customer Amount [NOK 102], Status [APPROVED], Operation [DIRECT], UUID [3638068-1458745053-199] [23/03/2016 at 14:57:00]"/>
  </r>
  <r>
    <s v="3638083-1458745064-264"/>
    <s v="Spot"/>
    <s v="3638083-1458745064-264"/>
    <n v="0"/>
    <d v="2016-03-31T00:00:00"/>
    <x v="401"/>
    <s v="264"/>
    <s v="SELL"/>
    <n v="3.3915040183696896"/>
    <x v="0"/>
    <x v="0"/>
    <n v="29.54"/>
    <s v="Deal"/>
    <m/>
    <s v="Original Amount [TRY 28], Merchant Amount [EUR 8.71], Customer Amount [TRY 29.54], Status [APPROVED], Operation [3DAUTH], UUID [3638083-1458745064-264] [23/03/2016 at 14:57:00]"/>
  </r>
  <r>
    <s v="3638059-1458745044-224"/>
    <s v="Spot"/>
    <s v="3638059-1458745044-224"/>
    <n v="0"/>
    <d v="2016-03-31T00:00:00"/>
    <x v="40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8059-1458745044-224] [23/03/2016 at 14:57:00]"/>
  </r>
  <r>
    <s v="3638089-1458745065-119"/>
    <s v="Spot"/>
    <s v="3638089-1458745065-119"/>
    <n v="0"/>
    <d v="2016-03-31T00:00:00"/>
    <x v="403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38089-1458745065-119] [23/03/2016 at 14:57:00]"/>
  </r>
  <r>
    <s v="3638047-1458745034-119"/>
    <s v="Spot"/>
    <s v="3638047-1458745034-119"/>
    <n v="0"/>
    <d v="2016-03-31T00:00:00"/>
    <x v="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8047-1458745034-119] [23/03/2016 at 14:57:00]"/>
  </r>
  <r>
    <s v="3638038-1458745028-216"/>
    <s v="Spot"/>
    <s v="3638038-1458745028-216"/>
    <n v="0"/>
    <d v="2016-03-31T00:00:00"/>
    <x v="40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8038-1458745028-216] [23/03/2016 at 14:57:00]"/>
  </r>
  <r>
    <s v="3638056-1458745043-101"/>
    <s v="Spot"/>
    <s v="3638056-1458745043-101"/>
    <n v="0"/>
    <d v="2016-03-31T00:00:00"/>
    <x v="406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8056-1458745043-101] [23/03/2016 at 14:57:00]"/>
  </r>
  <r>
    <s v="3638014-1458745003-107"/>
    <s v="Spot"/>
    <s v="3638014-1458745003-107"/>
    <n v="0"/>
    <d v="2016-03-31T00:00:00"/>
    <x v="407"/>
    <s v="107"/>
    <s v="SELL"/>
    <n v="3.3883763837638372"/>
    <x v="0"/>
    <x v="0"/>
    <n v="36.729999999999997"/>
    <s v="Deal"/>
    <m/>
    <s v="Original Amount [EUR 10.84], Merchant Amount [EUR 10.84], Customer Amount [TRY 36.73], Status [WAITING], Operation [3D], UUID [3638014-1458745003-107] [23/03/2016 at 14:56:00]"/>
  </r>
  <r>
    <s v="3638026-1458745008-56"/>
    <s v="Spot"/>
    <s v="3638026-1458745008-56"/>
    <n v="0"/>
    <d v="2016-03-31T00:00:00"/>
    <x v="408"/>
    <s v="56"/>
    <s v="SELL"/>
    <n v="3.3880180373631092"/>
    <x v="0"/>
    <x v="0"/>
    <n v="157.78"/>
    <s v="Deal"/>
    <m/>
    <s v="Original Amount [EUR 46.57], Merchant Amount [EUR 46.57], Customer Amount [TRY 157.78], Status [APPROVED], Operation [3DAUTH], UUID [3638026-1458745008-56] [23/03/2016 at 14:56:00]"/>
  </r>
  <r>
    <s v="3637993-1458744979-145"/>
    <s v="Spot"/>
    <s v="3637993-1458744979-145"/>
    <n v="0"/>
    <d v="2016-03-31T00:00:00"/>
    <x v="409"/>
    <s v="145"/>
    <s v="SELL"/>
    <n v="1.5513936644963056"/>
    <x v="0"/>
    <x v="2"/>
    <n v="424.12"/>
    <s v="Deal"/>
    <m/>
    <s v="Original Amount [EUR 273.38], Merchant Amount [EUR 273.38], Customer Amount [CAD 424.12], Status [APPROVED], Operation [DIRECT], UUID [3637993-1458744979-145] [23/03/2016 at 14:56:00]"/>
  </r>
  <r>
    <s v="3637987-1458744977-102"/>
    <s v="Spot"/>
    <s v="3637987-1458744977-102"/>
    <n v="0"/>
    <d v="2016-03-31T00:00:00"/>
    <x v="410"/>
    <s v="102"/>
    <s v="SELL"/>
    <n v="3.3881720430107527"/>
    <x v="0"/>
    <x v="0"/>
    <n v="31.51"/>
    <s v="Deal"/>
    <m/>
    <s v="Original Amount [EUR 9.3], Merchant Amount [EUR 9.3], Customer Amount [TRY 31.51], Status [WAITING], Operation [3D], UUID [3637987-1458744977-102] [23/03/2016 at 14:56:00]"/>
  </r>
  <r>
    <s v="3637984-1458744968-224"/>
    <s v="Spot"/>
    <s v="3637984-1458744968-224"/>
    <n v="0"/>
    <d v="2016-03-31T00:00:00"/>
    <x v="411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984-1458744968-224] [23/03/2016 at 14:56:00]"/>
  </r>
  <r>
    <s v="3637972-1458744960-224"/>
    <s v="Spot"/>
    <s v="3637972-1458744960-224"/>
    <n v="0"/>
    <d v="2016-03-31T00:00:00"/>
    <x v="412"/>
    <s v="224"/>
    <s v="SELL"/>
    <n v="132.83241973375098"/>
    <x v="0"/>
    <x v="3"/>
    <n v="1696.27"/>
    <s v="Deal"/>
    <m/>
    <s v="Original Amount [EUR 12.77], Merchant Amount [EUR 12.77], Customer Amount [JPY 1696.27], Status [APPROVED], Operation [DIRECT], UUID [3637972-1458744960-224] [23/03/2016 at 14:56:00]"/>
  </r>
  <r>
    <s v="3637990-1458744979-101"/>
    <s v="Spot"/>
    <s v="3637990-1458744979-101"/>
    <n v="0"/>
    <d v="2016-03-31T00:00:00"/>
    <x v="413"/>
    <s v="101"/>
    <s v="SELL"/>
    <n v="4.3367709815078239"/>
    <x v="0"/>
    <x v="9"/>
    <n v="487.8"/>
    <s v="Deal"/>
    <m/>
    <s v="Original Amount [EUR 112.48], Merchant Amount [EUR 112.48], Customer Amount [AED 487.8], Status [APPROVED], Operation [3DAUTH], UUID [3637990-1458744979-101] [23/03/2016 at 14:56:00]"/>
  </r>
  <r>
    <s v="3638017-1458745006-150"/>
    <s v="Spot"/>
    <s v="3638017-1458745006-150"/>
    <n v="0"/>
    <d v="2016-03-31T00:00:00"/>
    <x v="414"/>
    <s v="150"/>
    <s v="SELL"/>
    <n v="3.3880837359098228"/>
    <x v="0"/>
    <x v="0"/>
    <n v="105.2"/>
    <s v="Deal"/>
    <m/>
    <s v="Original Amount [EUR 31.05], Merchant Amount [EUR 31.05], Customer Amount [TRY 105.2], Status [APPROVED], Operation [3DAUTH], UUID [3638017-1458745006-150] [23/03/2016 at 14:56:00]"/>
  </r>
  <r>
    <s v="3637954-1458744938-224"/>
    <s v="Spot"/>
    <s v="3637954-1458744938-224"/>
    <n v="0"/>
    <d v="2016-03-31T00:00:00"/>
    <x v="415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7954-1458744938-224] [23/03/2016 at 14:55:00]"/>
  </r>
  <r>
    <s v="3637975-1458744965-101"/>
    <s v="Spot"/>
    <s v="3637975-1458744965-101"/>
    <n v="0"/>
    <d v="2016-03-31T00:00:00"/>
    <x v="416"/>
    <s v="101"/>
    <s v="SELL"/>
    <n v="3.3880180373631092"/>
    <x v="0"/>
    <x v="0"/>
    <n v="157.78"/>
    <s v="Deal"/>
    <m/>
    <s v="Original Amount [EUR 46.57], Merchant Amount [EUR 46.57], Customer Amount [TRY 157.78], Status [APPROVED], Operation [3DAUTH], UUID [3637975-1458744965-101] [23/03/2016 at 14:56:00]"/>
  </r>
  <r>
    <s v="3637942-1458744933-199"/>
    <s v="Spot"/>
    <s v="3637942-1458744933-199"/>
    <n v="0"/>
    <d v="2016-03-31T00:00:00"/>
    <x v="417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7942-1458744933-199] [23/03/2016 at 14:55:00]"/>
  </r>
  <r>
    <s v="3637933-1458744922-199"/>
    <s v="Spot"/>
    <s v="3637933-1458744922-199"/>
    <n v="0"/>
    <d v="2016-03-31T00:00:00"/>
    <x v="41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933-1458744922-199] [23/03/2016 at 14:55:00]"/>
  </r>
  <r>
    <s v="3637936-1458744928-126"/>
    <s v="Spot"/>
    <s v="3637936-1458744928-126"/>
    <n v="0"/>
    <d v="2016-03-31T00:00:00"/>
    <x v="419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936-1458744928-126] [23/03/2016 at 14:55:00]"/>
  </r>
  <r>
    <s v="3637918-1458744908-216"/>
    <s v="Spot"/>
    <s v="3637918-1458744908-216"/>
    <n v="0"/>
    <d v="2016-03-31T00:00:00"/>
    <x v="420"/>
    <s v="216"/>
    <s v="SELL"/>
    <n v="3.3884297520661155"/>
    <x v="0"/>
    <x v="0"/>
    <n v="36.9"/>
    <s v="Deal"/>
    <m/>
    <s v="Original Amount [EUR 10.89], Merchant Amount [EUR 10.89], Customer Amount [TRY 36.9], Status [APPROVED], Operation [3DAUTH], UUID [3637918-1458744908-216] [23/03/2016 at 14:55:00]"/>
  </r>
  <r>
    <s v="3637906-1458744890-200"/>
    <s v="Spot"/>
    <s v="3637906-1458744890-200"/>
    <n v="0"/>
    <d v="2016-03-31T00:00:00"/>
    <x v="421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37906-1458744890-200] [23/03/2016 at 14:54:00]"/>
  </r>
  <r>
    <s v="3637894-1458744884-224"/>
    <s v="Spot"/>
    <s v="3637894-1458744884-224"/>
    <n v="0"/>
    <d v="2016-03-31T00:00:00"/>
    <x v="422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894-1458744884-224] [23/03/2016 at 14:54:00]"/>
  </r>
  <r>
    <s v="3637885-1458744867-260"/>
    <s v="Spot"/>
    <s v="3637885-1458744867-260"/>
    <n v="0"/>
    <d v="2016-03-31T00:00:00"/>
    <x v="423"/>
    <s v="260"/>
    <s v="SELL"/>
    <n v="7.8639999999999999"/>
    <x v="0"/>
    <x v="10"/>
    <n v="39.32"/>
    <s v="Deal"/>
    <m/>
    <s v="Original Amount [EUR 5], Merchant Amount [EUR 5], Customer Amount [DKK 39.32], Status [APPROVED], Operation [DIRECT], UUID [3637885-1458744867-260] [23/03/2016 at 14:54:00]"/>
  </r>
  <r>
    <s v="3637882-1458744866-224"/>
    <s v="Spot"/>
    <s v="3637882-1458744866-224"/>
    <n v="0"/>
    <d v="2016-03-31T00:00:00"/>
    <x v="424"/>
    <s v="224"/>
    <s v="SELL"/>
    <n v="9.9545629572583749"/>
    <x v="0"/>
    <x v="1"/>
    <n v="258.52"/>
    <s v="Deal"/>
    <m/>
    <s v="Original Amount [EUR 25.97], Merchant Amount [EUR 25.97], Customer Amount [NOK 258.52], Status [APPROVED], Operation [DIRECT], UUID [3637882-1458744866-224] [23/03/2016 at 14:54:00]"/>
  </r>
  <r>
    <s v="3637876-1458744858-126"/>
    <s v="Spot"/>
    <s v="3637876-1458744858-126"/>
    <n v="0"/>
    <d v="2016-03-31T00:00:00"/>
    <x v="42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7876-1458744858-126] [23/03/2016 at 14:54:00]"/>
  </r>
  <r>
    <s v="3637870-1458744856-216"/>
    <s v="Spot"/>
    <s v="3637870-1458744856-216"/>
    <n v="0"/>
    <d v="2016-03-31T00:00:00"/>
    <x v="426"/>
    <s v="216"/>
    <s v="SELL"/>
    <n v="3.3881748071979434"/>
    <x v="0"/>
    <x v="0"/>
    <n v="52.72"/>
    <s v="Deal"/>
    <m/>
    <s v="Original Amount [EUR 15.56], Merchant Amount [EUR 15.56], Customer Amount [TRY 52.72], Status [WAITING], Operation [3D], UUID [3637870-1458744856-216] [23/03/2016 at 14:54:00]"/>
  </r>
  <r>
    <s v="3637864-1458744848-224"/>
    <s v="Spot"/>
    <s v="3637864-1458744848-224"/>
    <n v="0"/>
    <d v="2016-03-31T00:00:00"/>
    <x v="427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7864-1458744848-224] [23/03/2016 at 14:54:00]"/>
  </r>
  <r>
    <s v="3637858-1458744840-261"/>
    <s v="Spot"/>
    <s v="3637858-1458744840-261"/>
    <n v="0"/>
    <d v="2016-03-31T00:00:00"/>
    <x v="428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858-1458744840-261] [23/03/2016 at 14:54:00]"/>
  </r>
  <r>
    <s v="3637852-1458744838-224"/>
    <s v="Spot"/>
    <s v="3637852-1458744838-224"/>
    <n v="0"/>
    <d v="2016-03-31T00:00:00"/>
    <x v="429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852-1458744838-224] [23/03/2016 at 14:53:00]"/>
  </r>
  <r>
    <s v="3637891-1458744874-56"/>
    <s v="Spot"/>
    <s v="3637891-1458744874-56"/>
    <n v="0"/>
    <d v="2016-03-31T00:00:00"/>
    <x v="430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891-1458744874-56] [23/03/2016 at 14:54:00]"/>
  </r>
  <r>
    <s v="3637843-1458744832-224"/>
    <s v="Spot"/>
    <s v="3637843-1458744832-224"/>
    <n v="0"/>
    <d v="2016-03-31T00:00:00"/>
    <x v="431"/>
    <s v="224"/>
    <s v="SELL"/>
    <n v="9.9505779490219322"/>
    <x v="0"/>
    <x v="1"/>
    <n v="2685.86"/>
    <s v="Deal"/>
    <m/>
    <s v="Original Amount [EUR 269.92], Merchant Amount [EUR 269.92], Customer Amount [NOK 2685.86], Status [APPROVED], Operation [DIRECT], UUID [3637843-1458744832-224] [23/03/2016 at 14:53:00]"/>
  </r>
  <r>
    <s v="3637831-1458744815-119"/>
    <s v="Spot"/>
    <s v="3637831-1458744815-119"/>
    <n v="0"/>
    <d v="2016-03-31T00:00:00"/>
    <x v="432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31-1458744815-119] [23/03/2016 at 14:53:00]"/>
  </r>
  <r>
    <s v="3637822-1458744808-119"/>
    <s v="Spot"/>
    <s v="3637822-1458744808-119"/>
    <n v="0"/>
    <d v="2016-03-31T00:00:00"/>
    <x v="43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7822-1458744808-119] [23/03/2016 at 14:53:00]"/>
  </r>
  <r>
    <s v="3637840-1458744830-56"/>
    <s v="Spot"/>
    <s v="3637840-1458744830-56"/>
    <n v="0"/>
    <d v="2016-03-31T00:00:00"/>
    <x v="434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840-1458744830-56] [23/03/2016 at 14:53:00]"/>
  </r>
  <r>
    <s v="3637810-1458744797-224"/>
    <s v="Spot"/>
    <s v="3637810-1458744797-224"/>
    <n v="0"/>
    <d v="2016-03-31T00:00:00"/>
    <x v="435"/>
    <s v="224"/>
    <s v="SELL"/>
    <n v="132.83282141290042"/>
    <x v="0"/>
    <x v="3"/>
    <n v="3027.26"/>
    <s v="Deal"/>
    <m/>
    <s v="Original Amount [EUR 22.79], Merchant Amount [EUR 22.79], Customer Amount [JPY 3027.26], Status [APPROVED], Operation [DIRECT], UUID [3637810-1458744797-224] [23/03/2016 at 14:53:00]"/>
  </r>
  <r>
    <s v="3637792-1458744779-200"/>
    <s v="Spot"/>
    <s v="3637792-1458744779-200"/>
    <n v="0"/>
    <d v="2016-03-31T00:00:00"/>
    <x v="436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7792-1458744779-200] [23/03/2016 at 14:52:00]"/>
  </r>
  <r>
    <s v="3637786-1458744775-119"/>
    <s v="Spot"/>
    <s v="3637786-1458744775-119"/>
    <n v="0"/>
    <d v="2016-03-31T00:00:00"/>
    <x v="43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7786-1458744775-119] [23/03/2016 at 14:52:00]"/>
  </r>
  <r>
    <s v="3637813-1458744798-107"/>
    <s v="Spot"/>
    <s v="3637813-1458744798-107"/>
    <n v="0"/>
    <d v="2016-03-31T00:00:00"/>
    <x v="438"/>
    <s v="107"/>
    <s v="SELL"/>
    <n v="3.3920664206642068"/>
    <x v="0"/>
    <x v="0"/>
    <n v="36.770000000000003"/>
    <s v="Deal"/>
    <m/>
    <s v="Original Amount [EUR 10.84], Merchant Amount [EUR 10.84], Customer Amount [TRY 36.77], Status [APPROVED], Operation [3DAUTH], UUID [3637813-1458744798-107] [23/03/2016 at 14:53:00]"/>
  </r>
  <r>
    <s v="3637804-1458744789-256"/>
    <s v="Spot"/>
    <s v="3637804-1458744789-256"/>
    <n v="0"/>
    <d v="2016-03-31T00:00:00"/>
    <x v="439"/>
    <s v="256"/>
    <s v="SELL"/>
    <n v="1.0570469798657718"/>
    <x v="0"/>
    <x v="11"/>
    <n v="9.4499999999999993"/>
    <s v="Deal"/>
    <m/>
    <s v="Original Amount [USD 10], Merchant Amount [EUR 8.94], Customer Amount [EUR 9.45], Status [APPROVED], Operation [3DAUTH], UUID [3637804-1458744789-256] [23/03/2016 at 14:53:00]"/>
  </r>
  <r>
    <s v="3637771-1458744752-224"/>
    <s v="Spot"/>
    <s v="3637771-1458744752-224"/>
    <n v="0"/>
    <d v="2016-03-31T00:00:00"/>
    <x v="440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7771-1458744752-224] [23/03/2016 at 14:52:00]"/>
  </r>
  <r>
    <s v="3637762-1458744743-199"/>
    <s v="Spot"/>
    <s v="3637762-1458744743-199"/>
    <n v="0"/>
    <d v="2016-03-31T00:00:00"/>
    <x v="441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7762-1458744743-199] [23/03/2016 at 14:52:00]"/>
  </r>
  <r>
    <s v="3637753-1458744741-145"/>
    <s v="Spot"/>
    <s v="3637753-1458744741-145"/>
    <n v="0"/>
    <d v="2016-03-31T00:00:00"/>
    <x v="442"/>
    <s v="145"/>
    <s v="SELL"/>
    <n v="1.5441154952933716"/>
    <x v="0"/>
    <x v="2"/>
    <n v="316.58999999999997"/>
    <s v="Deal"/>
    <m/>
    <s v="Original Amount [EUR 205.03], Merchant Amount [EUR 205.03], Customer Amount [CAD 316.59], Status [APPROVED], Operation [DIRECT], UUID [3637753-1458744741-145] [23/03/2016 at 14:52:00]"/>
  </r>
  <r>
    <s v="3637774-1458744754-124"/>
    <s v="Spot"/>
    <s v="3637774-1458744754-124"/>
    <n v="0"/>
    <d v="2016-03-31T00:00:00"/>
    <x v="443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37774-1458744754-124] [23/03/2016 at 14:52:00]"/>
  </r>
  <r>
    <s v="3637714-1458744701-261"/>
    <s v="Spot"/>
    <s v="3637714-1458744701-261"/>
    <n v="0"/>
    <d v="2016-03-31T00:00:00"/>
    <x v="444"/>
    <s v="261"/>
    <s v="SELL"/>
    <n v="9.9507634777189136"/>
    <x v="0"/>
    <x v="1"/>
    <n v="319.32"/>
    <s v="Deal"/>
    <m/>
    <s v="Original Amount [EUR 32.09], Merchant Amount [EUR 32.09], Customer Amount [NOK 319.32], Status [APPROVED], Operation [DIRECT], UUID [3637714-1458744701-261] [23/03/2016 at 14:51:00]"/>
  </r>
  <r>
    <s v="3637711-1458744701-224"/>
    <s v="Spot"/>
    <s v="3637711-1458744701-224"/>
    <n v="0"/>
    <d v="2016-03-31T00:00:00"/>
    <x v="445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7711-1458744701-224] [23/03/2016 at 14:51:00]"/>
  </r>
  <r>
    <s v="3637705-1458744697-187"/>
    <s v="Spot"/>
    <s v="3637705-1458744697-187"/>
    <n v="0"/>
    <d v="2016-03-31T00:00:00"/>
    <x v="446"/>
    <s v="187"/>
    <s v="SELL"/>
    <n v="9.9505624350127615"/>
    <x v="0"/>
    <x v="1"/>
    <n v="1052.67"/>
    <s v="Deal"/>
    <m/>
    <s v="Original Amount [EUR 105.79], Merchant Amount [EUR 105.79], Customer Amount [NOK 1052.67], Status [APPROVED], Operation [DIRECT], UUID [3637705-1458744697-187] [23/03/2016 at 14:51:00]"/>
  </r>
  <r>
    <s v="3637699-1458744688-261"/>
    <s v="Spot"/>
    <s v="3637699-1458744688-261"/>
    <n v="0"/>
    <d v="2016-03-31T00:00:00"/>
    <x v="447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37699-1458744688-261] [23/03/2016 at 14:51:00]"/>
  </r>
  <r>
    <s v="3637723-1458744708-56"/>
    <s v="Spot"/>
    <s v="3637723-1458744708-56"/>
    <n v="0"/>
    <d v="2016-03-31T00:00:00"/>
    <x v="448"/>
    <s v="56"/>
    <s v="SELL"/>
    <n v="3.3919344450010738"/>
    <x v="0"/>
    <x v="0"/>
    <n v="947.91"/>
    <s v="Deal"/>
    <m/>
    <s v="Original Amount [EUR 279.46], Merchant Amount [EUR 279.46], Customer Amount [TRY 947.91], Status [APPROVED], Operation [3DAUTH], UUID [3637723-1458744708-56] [23/03/2016 at 14:51:00]"/>
  </r>
  <r>
    <s v="3637717-1458744707-216"/>
    <s v="Spot"/>
    <s v="3637717-1458744707-216"/>
    <n v="0"/>
    <d v="2016-03-31T00:00:00"/>
    <x v="449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717-1458744707-216] [23/03/2016 at 14:51:00]"/>
  </r>
  <r>
    <s v="3637672-1458744674-224"/>
    <s v="Spot"/>
    <s v="3637672-1458744674-224"/>
    <n v="0"/>
    <d v="2016-03-31T00:00:00"/>
    <x v="450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7672-1458744674-224] [23/03/2016 at 14:51:00]"/>
  </r>
  <r>
    <s v="3637690-1458744685-56"/>
    <s v="Spot"/>
    <s v="3637690-1458744685-56"/>
    <n v="0"/>
    <d v="2016-03-31T00:00:00"/>
    <x v="451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690-1458744685-56] [23/03/2016 at 14:51:00]"/>
  </r>
  <r>
    <s v="3637696-1458744686-216"/>
    <s v="Spot"/>
    <s v="3637696-1458744686-216"/>
    <n v="0"/>
    <d v="2016-03-31T00:00:00"/>
    <x v="45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696-1458744686-216] [23/03/2016 at 14:51:00]"/>
  </r>
  <r>
    <s v="3637645-1458744650-154"/>
    <s v="Spot"/>
    <s v="3637645-1458744650-154"/>
    <n v="0"/>
    <d v="2016-03-31T00:00:00"/>
    <x v="453"/>
    <s v="154"/>
    <s v="SELL"/>
    <n v="0.83339897597479318"/>
    <x v="0"/>
    <x v="4"/>
    <n v="21.16"/>
    <s v="Deal"/>
    <m/>
    <s v="Original Amount [EUR 25.39], Merchant Amount [EUR 25.39], Customer Amount [GBP 21.16], Status [APPROVED], Operation [3DAUTH], UUID [3637645-1458744650-154] [23/03/2016 at 14:50:00]"/>
  </r>
  <r>
    <s v="3637630-1458744632-187"/>
    <s v="Spot"/>
    <s v="3637630-1458744632-187"/>
    <n v="0"/>
    <d v="2016-03-31T00:00:00"/>
    <x v="454"/>
    <s v="187"/>
    <s v="SELL"/>
    <n v="9.9666666666666668"/>
    <x v="0"/>
    <x v="1"/>
    <n v="200.33"/>
    <s v="Deal"/>
    <m/>
    <s v="Original Amount [EUR 20.1], Merchant Amount [EUR 20.1], Customer Amount [NOK 200.33], Status [APPROVED], Operation [DIRECT], UUID [3637630-1458744632-187] [23/03/2016 at 14:50:00]"/>
  </r>
  <r>
    <s v="3637612-1458744622-216"/>
    <s v="Spot"/>
    <s v="3637612-1458744622-216"/>
    <n v="0"/>
    <d v="2016-03-31T00:00:00"/>
    <x v="455"/>
    <s v="216"/>
    <s v="SELL"/>
    <n v="3.3884297520661155"/>
    <x v="0"/>
    <x v="0"/>
    <n v="36.9"/>
    <s v="Deal"/>
    <m/>
    <s v="Original Amount [EUR 10.89], Merchant Amount [EUR 10.89], Customer Amount [TRY 36.9], Status [WAITING], Operation [3D], UUID [3637612-1458744622-216] [23/03/2016 at 14:50:00]"/>
  </r>
  <r>
    <s v="3637639-1458744648-126"/>
    <s v="Spot"/>
    <s v="3637639-1458744648-126"/>
    <n v="0"/>
    <d v="2016-03-31T00:00:00"/>
    <x v="456"/>
    <s v="126"/>
    <s v="SELL"/>
    <n v="9.9663414634146346"/>
    <x v="0"/>
    <x v="1"/>
    <n v="408.62"/>
    <s v="Deal"/>
    <m/>
    <s v="Original Amount [EUR 41], Merchant Amount [EUR 41], Customer Amount [NOK 408.62], Status [APPROVED], Operation [3DAUTH], UUID [3637639-1458744648-126] [23/03/2016 at 14:50:00]"/>
  </r>
  <r>
    <s v="3637594-1458744605-119"/>
    <s v="Spot"/>
    <s v="3637594-1458744605-119"/>
    <n v="0"/>
    <d v="2016-03-31T00:00:00"/>
    <x v="457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594-1458744605-119] [23/03/2016 at 14:50:00]"/>
  </r>
  <r>
    <s v="3637591-1458744604-199"/>
    <s v="Spot"/>
    <s v="3637591-1458744604-199"/>
    <n v="0"/>
    <d v="2016-03-31T00:00:00"/>
    <x v="45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7591-1458744604-199] [23/03/2016 at 14:50:00]"/>
  </r>
  <r>
    <s v="3637570-1458744592-119"/>
    <s v="Spot"/>
    <s v="3637570-1458744592-119"/>
    <n v="0"/>
    <d v="2016-03-31T00:00:00"/>
    <x v="4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7570-1458744592-119] [23/03/2016 at 14:49:00]"/>
  </r>
  <r>
    <s v="3637561-1458744586-224"/>
    <s v="Spot"/>
    <s v="3637561-1458744586-224"/>
    <n v="0"/>
    <d v="2016-03-31T00:00:00"/>
    <x v="460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561-1458744586-224] [23/03/2016 at 14:49:00]"/>
  </r>
  <r>
    <s v="3637555-1458744579-224"/>
    <s v="Spot"/>
    <s v="3637555-1458744579-224"/>
    <n v="0"/>
    <d v="2016-03-31T00:00:00"/>
    <x v="461"/>
    <s v="224"/>
    <s v="SELL"/>
    <n v="132.99334746692011"/>
    <x v="0"/>
    <x v="3"/>
    <n v="18192.16"/>
    <s v="Deal"/>
    <m/>
    <s v="Original Amount [EUR 136.79], Merchant Amount [EUR 136.79], Customer Amount [JPY 18192.16], Status [APPROVED], Operation [DIRECT], UUID [3637555-1458744579-224] [23/03/2016 at 14:49:00]"/>
  </r>
  <r>
    <s v="3637585-1458744600-216"/>
    <s v="Spot"/>
    <s v="3637585-1458744600-216"/>
    <n v="0"/>
    <d v="2016-03-31T00:00:00"/>
    <x v="462"/>
    <s v="216"/>
    <s v="SELL"/>
    <n v="3.3881748071979434"/>
    <x v="0"/>
    <x v="0"/>
    <n v="52.72"/>
    <s v="Deal"/>
    <m/>
    <s v="Original Amount [EUR 15.56], Merchant Amount [EUR 15.56], Customer Amount [TRY 52.72], Status [APPROVED], Operation [3DAUTH], UUID [3637585-1458744600-216] [23/03/2016 at 14:50:00]"/>
  </r>
  <r>
    <s v="3637603-1458744609-126"/>
    <s v="Spot"/>
    <s v="3637603-1458744609-126"/>
    <n v="0"/>
    <d v="2016-03-31T00:00:00"/>
    <x v="463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3DAUTH], UUID [3637603-1458744609-126] [23/03/2016 at 14:50:00]"/>
  </r>
  <r>
    <s v="3637558-1458744582-101"/>
    <s v="Spot"/>
    <s v="3637558-1458744582-101"/>
    <n v="0"/>
    <d v="2016-03-31T00:00:00"/>
    <x v="464"/>
    <s v="101"/>
    <s v="SELL"/>
    <n v="3.387822839954362"/>
    <x v="0"/>
    <x v="0"/>
    <n v="326.62"/>
    <s v="Deal"/>
    <m/>
    <s v="Original Amount [EUR 96.41], Merchant Amount [EUR 96.41], Customer Amount [TRY 326.62], Status [APPROVED], Operation [3DAUTH], UUID [3637558-1458744582-101] [23/03/2016 at 14:49:00]"/>
  </r>
  <r>
    <s v="3637528-1458744544-224"/>
    <s v="Spot"/>
    <s v="3637528-1458744544-224"/>
    <n v="0"/>
    <d v="2016-03-31T00:00:00"/>
    <x v="465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7528-1458744544-224] [23/03/2016 at 14:49:00]"/>
  </r>
  <r>
    <s v="3637573-1458744596-264"/>
    <s v="Spot"/>
    <s v="3637573-1458744596-264"/>
    <n v="0"/>
    <d v="2016-03-31T00:00:00"/>
    <x v="466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73-1458744596-264] [23/03/2016 at 14:49:00]"/>
  </r>
  <r>
    <s v="3637522-1458744536-224"/>
    <s v="Spot"/>
    <s v="3637522-1458744536-224"/>
    <n v="0"/>
    <d v="2016-03-31T00:00:00"/>
    <x v="46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7522-1458744536-224] [23/03/2016 at 14:48:00]"/>
  </r>
  <r>
    <s v="3637513-1458744526-145"/>
    <s v="Spot"/>
    <s v="3637513-1458744526-145"/>
    <n v="0"/>
    <d v="2016-03-31T00:00:00"/>
    <x v="468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513-1458744526-145] [23/03/2016 at 14:48:00]"/>
  </r>
  <r>
    <s v="3637519-1458744532-264"/>
    <s v="Spot"/>
    <s v="3637519-1458744532-264"/>
    <n v="0"/>
    <d v="2016-03-31T00:00:00"/>
    <x v="469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37519-1458744532-264] [23/03/2016 at 14:48:00]"/>
  </r>
  <r>
    <s v="3637501-1458744509-126"/>
    <s v="Spot"/>
    <s v="3637501-1458744509-126"/>
    <n v="0"/>
    <d v="2016-03-31T00:00:00"/>
    <x v="470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501-1458744509-126] [23/03/2016 at 14:48:00]"/>
  </r>
  <r>
    <s v="3637498-1458744507-261"/>
    <s v="Spot"/>
    <s v="3637498-1458744507-261"/>
    <n v="0"/>
    <d v="2016-03-31T00:00:00"/>
    <x v="471"/>
    <s v="261"/>
    <s v="SELL"/>
    <n v="9.966348850252384"/>
    <x v="0"/>
    <x v="1"/>
    <n v="1066.2"/>
    <s v="Deal"/>
    <m/>
    <s v="Original Amount [EUR 106.98], Merchant Amount [EUR 106.98], Customer Amount [NOK 1066.2], Status [APPROVED], Operation [DIRECT], UUID [3637498-1458744507-261] [23/03/2016 at 14:48:00]"/>
  </r>
  <r>
    <s v="3637495-1458744506-199"/>
    <s v="Spot"/>
    <s v="3637495-1458744506-199"/>
    <n v="0"/>
    <d v="2016-03-31T00:00:00"/>
    <x v="472"/>
    <s v="199"/>
    <s v="SELL"/>
    <n v="9.966466234967621"/>
    <x v="0"/>
    <x v="1"/>
    <n v="430.95"/>
    <s v="Deal"/>
    <m/>
    <s v="Original Amount [EUR 43.24], Merchant Amount [EUR 43.24], Customer Amount [NOK 430.95], Status [APPROVED], Operation [DIRECT], UUID [3637495-1458744506-199] [23/03/2016 at 14:48:00]"/>
  </r>
  <r>
    <s v="3637486-1458744502-224"/>
    <s v="Spot"/>
    <s v="3637486-1458744502-224"/>
    <n v="0"/>
    <d v="2016-03-31T00:00:00"/>
    <x v="473"/>
    <s v="224"/>
    <s v="SELL"/>
    <n v="132.99331662489556"/>
    <x v="0"/>
    <x v="3"/>
    <n v="30246.67"/>
    <s v="Deal"/>
    <m/>
    <s v="Original Amount [EUR 227.43], Merchant Amount [EUR 227.43], Customer Amount [JPY 30246.67], Status [APPROVED], Operation [DIRECT], UUID [3637486-1458744502-224] [23/03/2016 at 14:48:00]"/>
  </r>
  <r>
    <s v="3637504-1458744513-264"/>
    <s v="Spot"/>
    <s v="3637504-1458744513-264"/>
    <n v="0"/>
    <d v="2016-03-31T00:00:00"/>
    <x v="474"/>
    <s v="264"/>
    <s v="SELL"/>
    <n v="3.3901028277634961"/>
    <x v="0"/>
    <x v="0"/>
    <n v="158.25"/>
    <s v="Deal"/>
    <m/>
    <s v="Original Amount [TRY 150], Merchant Amount [EUR 46.68], Customer Amount [TRY 158.25], Status [APPROVED], Operation [3DAUTH], UUID [3637504-1458744513-264] [23/03/2016 at 14:48:00]"/>
  </r>
  <r>
    <s v="3637465-1458744486-187"/>
    <s v="Spot"/>
    <s v="3637465-1458744486-187"/>
    <n v="0"/>
    <d v="2016-03-31T00:00:00"/>
    <x v="475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7465-1458744486-187] [23/03/2016 at 14:48:00]"/>
  </r>
  <r>
    <s v="3637462-1458744485-97"/>
    <s v="Spot"/>
    <s v="3637462-1458744485-97"/>
    <n v="0"/>
    <d v="2016-03-31T00:00:00"/>
    <x v="476"/>
    <s v="97"/>
    <s v="SELL"/>
    <n v="9.9664020675650722"/>
    <x v="0"/>
    <x v="1"/>
    <n v="539.88"/>
    <s v="Deal"/>
    <m/>
    <s v="Original Amount [EUR 54.17], Merchant Amount [EUR 54.17], Customer Amount [NOK 539.88], Status [APPROVED], Operation [DIRECT], UUID [3637462-1458744485-97] [23/03/2016 at 14:48:00]"/>
  </r>
  <r>
    <s v="3637456-1458744479-126"/>
    <s v="Spot"/>
    <s v="3637456-1458744479-126"/>
    <n v="0"/>
    <d v="2016-03-31T00:00:00"/>
    <x v="477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7456-1458744479-126] [23/03/2016 at 14:47:00]"/>
  </r>
  <r>
    <s v="3637450-1458744475-119"/>
    <s v="Spot"/>
    <s v="3637450-1458744475-119"/>
    <n v="0"/>
    <d v="2016-03-31T00:00:00"/>
    <x v="47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7450-1458744475-119] [23/03/2016 at 14:47:00]"/>
  </r>
  <r>
    <s v="3637435-1458744465-119"/>
    <s v="Spot"/>
    <s v="3637435-1458744465-119"/>
    <n v="0"/>
    <d v="2016-03-31T00:00:00"/>
    <x v="479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7435-1458744465-119] [23/03/2016 at 14:47:00]"/>
  </r>
  <r>
    <s v="3637423-1458744450-145"/>
    <s v="Spot"/>
    <s v="3637423-1458744450-145"/>
    <n v="0"/>
    <d v="2016-03-31T00:00:00"/>
    <x v="480"/>
    <s v="145"/>
    <s v="SELL"/>
    <n v="9.9662868316364364"/>
    <x v="0"/>
    <x v="1"/>
    <n v="1478.1"/>
    <s v="Deal"/>
    <m/>
    <s v="Original Amount [EUR 148.31], Merchant Amount [EUR 148.31], Customer Amount [NOK 1478.1], Status [APPROVED], Operation [DIRECT], UUID [3637423-1458744450-145] [23/03/2016 at 14:47:00]"/>
  </r>
  <r>
    <s v="3637483-1458744501-216"/>
    <s v="Spot"/>
    <s v="3637483-1458744501-216"/>
    <n v="0"/>
    <d v="2016-03-31T00:00:00"/>
    <x v="481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483-1458744501-216] [23/03/2016 at 14:48:00]"/>
  </r>
  <r>
    <s v="3637468-1458744490-102"/>
    <s v="Spot"/>
    <s v="3637468-1458744490-102"/>
    <n v="0"/>
    <d v="2016-03-31T00:00:00"/>
    <x v="482"/>
    <s v="102"/>
    <s v="SELL"/>
    <n v="3.3919354838709679"/>
    <x v="0"/>
    <x v="0"/>
    <n v="42.06"/>
    <s v="Deal"/>
    <m/>
    <s v="Original Amount [EUR 12.4], Merchant Amount [EUR 12.4], Customer Amount [TRY 42.06], Status [APPROVED], Operation [3DAUTH], UUID [3637468-1458744490-102] [23/03/2016 at 14:48:00]"/>
  </r>
  <r>
    <s v="3637453-1458744477-56"/>
    <s v="Spot"/>
    <s v="3637453-1458744477-56"/>
    <n v="0"/>
    <d v="2016-03-31T00:00:00"/>
    <x v="48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453-1458744477-56] [23/03/2016 at 14:47:00]"/>
  </r>
  <r>
    <s v="3637402-1458744430-224"/>
    <s v="Spot"/>
    <s v="3637402-1458744430-224"/>
    <n v="0"/>
    <d v="2016-03-31T00:00:00"/>
    <x v="484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7402-1458744430-224] [23/03/2016 at 14:47:00]"/>
  </r>
  <r>
    <s v="3637384-1458744417-261"/>
    <s v="Spot"/>
    <s v="3637384-1458744417-261"/>
    <n v="0"/>
    <d v="2016-03-31T00:00:00"/>
    <x v="485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7384-1458744417-261] [23/03/2016 at 14:46:00]"/>
  </r>
  <r>
    <s v="3637408-1458744435-56"/>
    <s v="Spot"/>
    <s v="3637408-1458744435-56"/>
    <n v="0"/>
    <d v="2016-03-31T00:00:00"/>
    <x v="486"/>
    <s v="56"/>
    <s v="SELL"/>
    <n v="3.3926229508196726"/>
    <x v="0"/>
    <x v="0"/>
    <n v="41.39"/>
    <s v="Deal"/>
    <m/>
    <s v="Original Amount [EUR 12.2], Merchant Amount [EUR 12.2], Customer Amount [TRY 41.39], Status [APPROVED], Operation [3DAUTH], UUID [3637408-1458744435-56] [23/03/2016 at 14:47:00]"/>
  </r>
  <r>
    <s v="3637372-1458744398-145"/>
    <s v="Spot"/>
    <s v="3637372-1458744398-145"/>
    <n v="0"/>
    <d v="2016-03-31T00:00:00"/>
    <x v="487"/>
    <s v="145"/>
    <s v="SELL"/>
    <n v="9.9666456891126494"/>
    <x v="0"/>
    <x v="1"/>
    <n v="158.37"/>
    <s v="Deal"/>
    <m/>
    <s v="Original Amount [EUR 15.89], Merchant Amount [EUR 15.89], Customer Amount [NOK 158.37], Status [APPROVED], Operation [DIRECT], UUID [3637372-1458744398-145] [23/03/2016 at 14:46:00]"/>
  </r>
  <r>
    <s v="3637363-1458744390-145"/>
    <s v="Spot"/>
    <s v="3637363-1458744390-145"/>
    <n v="0"/>
    <d v="2016-03-31T00:00:00"/>
    <x v="488"/>
    <s v="145"/>
    <s v="SELL"/>
    <n v="9.9663897280966776"/>
    <x v="0"/>
    <x v="1"/>
    <n v="263.91000000000003"/>
    <s v="Deal"/>
    <m/>
    <s v="Original Amount [EUR 26.48], Merchant Amount [EUR 26.48], Customer Amount [NOK 263.91], Status [APPROVED], Operation [DIRECT], UUID [3637363-1458744390-145] [23/03/2016 at 14:46:00]"/>
  </r>
  <r>
    <s v="3637360-1458744380-216"/>
    <s v="Spot"/>
    <s v="3637360-1458744380-216"/>
    <n v="0"/>
    <d v="2016-03-31T00:00:00"/>
    <x v="48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60-1458744380-216] [23/03/2016 at 14:46:00]"/>
  </r>
  <r>
    <s v="3637369-1458744397-107"/>
    <s v="Spot"/>
    <s v="3637369-1458744397-107"/>
    <n v="0"/>
    <d v="2016-03-31T00:00:00"/>
    <x v="490"/>
    <s v="107"/>
    <s v="SELL"/>
    <n v="3.3919374506850297"/>
    <x v="0"/>
    <x v="0"/>
    <n v="472.87"/>
    <s v="Deal"/>
    <m/>
    <s v="Original Amount [EUR 139.41], Merchant Amount [EUR 139.41], Customer Amount [TRY 472.87], Status [APPROVED], Operation [3DAUTH], UUID [3637369-1458744397-107] [23/03/2016 at 14:46:00]"/>
  </r>
  <r>
    <s v="3637396-1458744428-107"/>
    <s v="Spot"/>
    <s v="3637396-1458744428-107"/>
    <n v="0"/>
    <d v="2016-03-31T00:00:00"/>
    <x v="49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7396-1458744428-107] [23/03/2016 at 14:47:00]"/>
  </r>
  <r>
    <s v="3637366-1458744392-216"/>
    <s v="Spot"/>
    <s v="3637366-1458744392-216"/>
    <n v="0"/>
    <d v="2016-03-31T00:00:00"/>
    <x v="492"/>
    <s v="216"/>
    <s v="SELL"/>
    <n v="3.391967871485944"/>
    <x v="0"/>
    <x v="0"/>
    <n v="211.15"/>
    <s v="Deal"/>
    <m/>
    <s v="Original Amount [EUR 62.25], Merchant Amount [EUR 62.25], Customer Amount [TRY 211.15], Status [APPROVED], Operation [3DAUTH], UUID [3637366-1458744392-216] [23/03/2016 at 14:46:00]"/>
  </r>
  <r>
    <s v="3637405-1458744434-216"/>
    <s v="Spot"/>
    <s v="3637405-1458744434-216"/>
    <n v="0"/>
    <d v="2016-03-31T00:00:00"/>
    <x v="493"/>
    <s v="216"/>
    <s v="SELL"/>
    <n v="3.3920308483290489"/>
    <x v="0"/>
    <x v="0"/>
    <n v="105.56"/>
    <s v="Deal"/>
    <m/>
    <s v="Original Amount [EUR 31.12], Merchant Amount [EUR 31.12], Customer Amount [TRY 105.56], Status [APPROVED], Operation [3DAUTH], UUID [3637405-1458744434-216] [23/03/2016 at 14:47:00]"/>
  </r>
  <r>
    <s v="3637330-1458744352-101"/>
    <s v="Spot"/>
    <s v="3637330-1458744352-101"/>
    <n v="0"/>
    <d v="2016-03-31T00:00:00"/>
    <x v="494"/>
    <s v="101"/>
    <s v="SELL"/>
    <n v="3.3920079671355663"/>
    <x v="0"/>
    <x v="0"/>
    <n v="272.48"/>
    <s v="Deal"/>
    <m/>
    <s v="Original Amount [EUR 80.33], Merchant Amount [EUR 80.33], Customer Amount [TRY 272.48], Status [WAITING], Operation [3D], UUID [3637330-1458744352-101] [23/03/2016 at 14:45:00]"/>
  </r>
  <r>
    <s v="3637327-1458744350-199"/>
    <s v="Spot"/>
    <s v="3637327-1458744350-199"/>
    <n v="0"/>
    <d v="2016-03-31T00:00:00"/>
    <x v="495"/>
    <s v="199"/>
    <s v="SELL"/>
    <n v="9.9662869635254854"/>
    <x v="0"/>
    <x v="1"/>
    <n v="866.17"/>
    <s v="Deal"/>
    <m/>
    <s v="Original Amount [EUR 86.91], Merchant Amount [EUR 86.91], Customer Amount [NOK 866.17], Status [APPROVED], Operation [DIRECT], UUID [3637327-1458744350-199] [23/03/2016 at 14:45:00]"/>
  </r>
  <r>
    <s v="3637342-1458744362-107"/>
    <s v="Spot"/>
    <s v="3637342-1458744362-107"/>
    <n v="0"/>
    <d v="2016-03-31T00:00:00"/>
    <x v="496"/>
    <s v="107"/>
    <s v="SELL"/>
    <n v="3.3921885087153001"/>
    <x v="0"/>
    <x v="0"/>
    <n v="105.09"/>
    <s v="Deal"/>
    <m/>
    <s v="Original Amount [EUR 30.98], Merchant Amount [EUR 30.98], Customer Amount [TRY 105.09], Status [APPROVED], Operation [3DAUTH], UUID [3637342-1458744362-107] [23/03/2016 at 14:46:00]"/>
  </r>
  <r>
    <s v="3637318-1458744334-145"/>
    <s v="Spot"/>
    <s v="3637318-1458744334-145"/>
    <n v="0"/>
    <d v="2016-03-31T00:00:00"/>
    <x v="497"/>
    <s v="145"/>
    <s v="SELL"/>
    <n v="9.9663310258023916"/>
    <x v="0"/>
    <x v="1"/>
    <n v="316.73"/>
    <s v="Deal"/>
    <m/>
    <s v="Original Amount [EUR 31.78], Merchant Amount [EUR 31.78], Customer Amount [NOK 316.73], Status [APPROVED], Operation [DIRECT], UUID [3637318-1458744334-145] [23/03/2016 at 14:45:00]"/>
  </r>
  <r>
    <s v="3637345-1458744363-216"/>
    <s v="Spot"/>
    <s v="3637345-1458744363-216"/>
    <n v="0"/>
    <d v="2016-03-31T00:00:00"/>
    <x v="498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45-1458744363-216] [23/03/2016 at 14:46:00]"/>
  </r>
  <r>
    <s v="3637303-1458744322-216"/>
    <s v="Spot"/>
    <s v="3637303-1458744322-216"/>
    <n v="0"/>
    <d v="2016-03-31T00:00:00"/>
    <x v="499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37303-1458744322-216] [23/03/2016 at 14:45:00]"/>
  </r>
  <r>
    <s v="3637300-1458744322-224"/>
    <s v="Spot"/>
    <s v="3637300-1458744322-224"/>
    <n v="0"/>
    <d v="2016-03-31T00:00:00"/>
    <x v="500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300-1458744322-224] [23/03/2016 at 14:45:00]"/>
  </r>
  <r>
    <s v="3637291-1458744321-224"/>
    <s v="Spot"/>
    <s v="3637291-1458744321-224"/>
    <n v="0"/>
    <d v="2016-03-31T00:00:00"/>
    <x v="501"/>
    <s v="224"/>
    <s v="SELL"/>
    <n v="132.99331067002962"/>
    <x v="0"/>
    <x v="3"/>
    <n v="12127.66"/>
    <s v="Deal"/>
    <m/>
    <s v="Original Amount [EUR 91.19], Merchant Amount [EUR 91.19], Customer Amount [JPY 12127.66], Status [APPROVED], Operation [DIRECT], UUID [3637291-1458744321-224] [23/03/2016 at 14:45:00]"/>
  </r>
  <r>
    <s v="3637336-1458744357-56"/>
    <s v="Spot"/>
    <s v="3637336-1458744357-56"/>
    <n v="0"/>
    <d v="2016-03-31T00:00:00"/>
    <x v="502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7336-1458744357-56] [23/03/2016 at 14:45:00]"/>
  </r>
  <r>
    <s v="3637324-1458744347-216"/>
    <s v="Spot"/>
    <s v="3637324-1458744347-216"/>
    <n v="0"/>
    <d v="2016-03-31T00:00:00"/>
    <x v="503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37324-1458744347-216] [23/03/2016 at 14:45:00]"/>
  </r>
  <r>
    <s v="3637273-1458744309-224"/>
    <s v="Spot"/>
    <s v="3637273-1458744309-224"/>
    <n v="0"/>
    <d v="2016-03-31T00:00:00"/>
    <x v="504"/>
    <s v="224"/>
    <s v="SELL"/>
    <n v="132.99390615478364"/>
    <x v="0"/>
    <x v="3"/>
    <n v="2182.4299999999998"/>
    <s v="Deal"/>
    <m/>
    <s v="Original Amount [EUR 16.41], Merchant Amount [EUR 16.41], Customer Amount [JPY 2182.43], Status [APPROVED], Operation [DIRECT], UUID [3637273-1458744309-224] [23/03/2016 at 14:45:00]"/>
  </r>
  <r>
    <s v="3637375-1458744400-101"/>
    <s v="Spot"/>
    <s v="3637375-1458744400-101"/>
    <n v="0"/>
    <d v="2016-03-31T00:00:00"/>
    <x v="505"/>
    <s v="101"/>
    <s v="SELL"/>
    <n v="3.3919484702093396"/>
    <x v="0"/>
    <x v="0"/>
    <n v="105.32"/>
    <s v="Deal"/>
    <m/>
    <s v="Original Amount [EUR 31.05], Merchant Amount [EUR 31.05], Customer Amount [TRY 105.32], Status [APPROVED], Operation [3DAUTH], UUID [3637375-1458744400-101] [23/03/2016 at 14:46:00]"/>
  </r>
  <r>
    <s v="3637261-1458744287-224"/>
    <s v="Spot"/>
    <s v="3637261-1458744287-224"/>
    <n v="0"/>
    <d v="2016-03-31T00:00:00"/>
    <x v="506"/>
    <s v="224"/>
    <s v="SELL"/>
    <n v="132.99331719988453"/>
    <x v="0"/>
    <x v="3"/>
    <n v="59901.52"/>
    <s v="Deal"/>
    <m/>
    <s v="Original Amount [EUR 450.41], Merchant Amount [EUR 450.41], Customer Amount [JPY 59901.52], Status [APPROVED], Operation [DIRECT], UUID [3637261-1458744287-224] [23/03/2016 at 14:44:00]"/>
  </r>
  <r>
    <s v="3637282-1458744311-56"/>
    <s v="Spot"/>
    <s v="3637282-1458744311-56"/>
    <n v="0"/>
    <d v="2016-03-31T00:00:00"/>
    <x v="507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7282-1458744311-56] [23/03/2016 at 14:45:00]"/>
  </r>
  <r>
    <s v="3637240-1458744264-145"/>
    <s v="Spot"/>
    <s v="3637240-1458744264-145"/>
    <n v="0"/>
    <d v="2016-03-31T00:00:00"/>
    <x v="508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240-1458744264-145] [23/03/2016 at 14:44:00]"/>
  </r>
  <r>
    <s v="3637231-1458744261-216"/>
    <s v="Spot"/>
    <s v="3637231-1458744261-216"/>
    <n v="0"/>
    <d v="2016-03-31T00:00:00"/>
    <x v="509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231-1458744261-216] [23/03/2016 at 14:44:00]"/>
  </r>
  <r>
    <s v="3637264-1458744289-56"/>
    <s v="Spot"/>
    <s v="3637264-1458744289-56"/>
    <n v="0"/>
    <d v="2016-03-31T00:00:00"/>
    <x v="510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7264-1458744289-56] [23/03/2016 at 14:44:00]"/>
  </r>
  <r>
    <s v="3637234-1458744261-56"/>
    <s v="Spot"/>
    <s v="3637234-1458744261-56"/>
    <n v="0"/>
    <d v="2016-03-31T00:00:00"/>
    <x v="511"/>
    <s v="56"/>
    <s v="SELL"/>
    <n v="3.392116182572614"/>
    <x v="0"/>
    <x v="0"/>
    <n v="130.80000000000001"/>
    <s v="Deal"/>
    <m/>
    <s v="Original Amount [EUR 38.56], Merchant Amount [EUR 38.56], Customer Amount [TRY 130.8], Status [APPROVED], Operation [3DAUTH], UUID [3637234-1458744261-56] [23/03/2016 at 14:44:00]"/>
  </r>
  <r>
    <s v="3637243-1458744266-126"/>
    <s v="Spot"/>
    <s v="3637243-1458744266-126"/>
    <n v="0"/>
    <d v="2016-03-31T00:00:00"/>
    <x v="512"/>
    <s v="126"/>
    <s v="SELL"/>
    <n v="9.9547317073170731"/>
    <x v="0"/>
    <x v="1"/>
    <n v="510.18"/>
    <s v="Deal"/>
    <m/>
    <s v="Original Amount [EUR 51.25], Merchant Amount [EUR 51.25], Customer Amount [NOK 510.18], Status [APPROVED], Operation [3DAUTH], UUID [3637243-1458744266-126] [23/03/2016 at 14:44:00]"/>
  </r>
  <r>
    <s v="3637192-1458744231-261"/>
    <s v="Spot"/>
    <s v="3637192-1458744231-261"/>
    <n v="0"/>
    <d v="2016-03-31T00:00:00"/>
    <x v="513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7192-1458744231-261] [23/03/2016 at 14:43:00]"/>
  </r>
  <r>
    <s v="3637189-1458744229-145"/>
    <s v="Spot"/>
    <s v="3637189-1458744229-145"/>
    <n v="0"/>
    <d v="2016-03-31T00:00:00"/>
    <x v="514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37189-1458744229-145] [23/03/2016 at 14:43:00]"/>
  </r>
  <r>
    <s v="3637186-1458744227-216"/>
    <s v="Spot"/>
    <s v="3637186-1458744227-216"/>
    <n v="0"/>
    <d v="2016-03-31T00:00:00"/>
    <x v="515"/>
    <s v="216"/>
    <s v="SELL"/>
    <n v="3.3920308483290489"/>
    <x v="0"/>
    <x v="0"/>
    <n v="105.56"/>
    <s v="Deal"/>
    <m/>
    <s v="Original Amount [EUR 31.12], Merchant Amount [EUR 31.12], Customer Amount [TRY 105.56], Status [WAITING], Operation [3D], UUID [3637186-1458744227-216] [23/03/2016 at 14:43:00]"/>
  </r>
  <r>
    <s v="3637183-1458744227-261"/>
    <s v="Spot"/>
    <s v="3637183-1458744227-261"/>
    <n v="0"/>
    <d v="2016-03-31T00:00:00"/>
    <x v="516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83-1458744227-261] [23/03/2016 at 14:43:00]"/>
  </r>
  <r>
    <s v="3637180-1458744225-224"/>
    <s v="Spot"/>
    <s v="3637180-1458744225-224"/>
    <n v="0"/>
    <d v="2016-03-31T00:00:00"/>
    <x v="5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7180-1458744225-224] [23/03/2016 at 14:43:00]"/>
  </r>
  <r>
    <s v="3637177-1458744224-224"/>
    <s v="Spot"/>
    <s v="3637177-1458744224-224"/>
    <n v="0"/>
    <d v="2016-03-31T00:00:00"/>
    <x v="518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77-1458744224-224] [23/03/2016 at 14:43:00]"/>
  </r>
  <r>
    <s v="3637174-1458744221-261"/>
    <s v="Spot"/>
    <s v="3637174-1458744221-261"/>
    <n v="0"/>
    <d v="2016-03-31T00:00:00"/>
    <x v="519"/>
    <s v="261"/>
    <s v="SELL"/>
    <n v="9.9551401869158873"/>
    <x v="0"/>
    <x v="1"/>
    <n v="159.78"/>
    <s v="Deal"/>
    <m/>
    <s v="Original Amount [EUR 16.05], Merchant Amount [EUR 16.05], Customer Amount [NOK 159.78], Status [APPROVED], Operation [DIRECT], UUID [3637174-1458744221-261] [23/03/2016 at 14:43:00]"/>
  </r>
  <r>
    <s v="3637171-1458744213-224"/>
    <s v="Spot"/>
    <s v="3637171-1458744213-224"/>
    <n v="0"/>
    <d v="2016-03-31T00:00:00"/>
    <x v="520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37171-1458744213-224] [23/03/2016 at 14:43:00]"/>
  </r>
  <r>
    <s v="3637210-1458744243-216"/>
    <s v="Spot"/>
    <s v="3637210-1458744243-216"/>
    <n v="0"/>
    <d v="2016-03-31T00:00:00"/>
    <x v="521"/>
    <s v="216"/>
    <s v="SELL"/>
    <n v="3.3925767309064954"/>
    <x v="0"/>
    <x v="0"/>
    <n v="47.53"/>
    <s v="Deal"/>
    <m/>
    <s v="Original Amount [EUR 14.01], Merchant Amount [EUR 14.01], Customer Amount [TRY 47.53], Status [APPROVED], Operation [3DAUTH], UUID [3637210-1458744243-216] [23/03/2016 at 14:44:00]"/>
  </r>
  <r>
    <s v="3637156-1458744207-125"/>
    <s v="Spot"/>
    <s v="3637156-1458744207-125"/>
    <n v="0"/>
    <d v="2016-03-31T00:00:00"/>
    <x v="522"/>
    <s v="125"/>
    <s v="SELL"/>
    <n v="132.99340000000001"/>
    <x v="0"/>
    <x v="3"/>
    <n v="6649.67"/>
    <s v="Deal"/>
    <m/>
    <s v="Original Amount [EUR 50], Merchant Amount [EUR 50], Customer Amount [JPY 6649.67], Status [APPROVED], Operation [DIRECT], UUID [3637156-1458744207-125] [23/03/2016 at 14:43:00]"/>
  </r>
  <r>
    <s v="3637150-1458744203-199"/>
    <s v="Spot"/>
    <s v="3637150-1458744203-199"/>
    <n v="0"/>
    <d v="2016-03-31T00:00:00"/>
    <x v="523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7150-1458744203-199] [23/03/2016 at 14:43:00]"/>
  </r>
  <r>
    <s v="3637147-1458744197-216"/>
    <s v="Spot"/>
    <s v="3637147-1458744197-216"/>
    <n v="0"/>
    <d v="2016-03-31T00:00:00"/>
    <x v="524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147-1458744197-216] [23/03/2016 at 14:43:00]"/>
  </r>
  <r>
    <s v="3637141-1458744189-224"/>
    <s v="Spot"/>
    <s v="3637141-1458744189-224"/>
    <n v="0"/>
    <d v="2016-03-31T00:00:00"/>
    <x v="525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37141-1458744189-224] [23/03/2016 at 14:43:00]"/>
  </r>
  <r>
    <s v="3637138-1458744183-119"/>
    <s v="Spot"/>
    <s v="3637138-1458744183-119"/>
    <n v="0"/>
    <d v="2016-03-31T00:00:00"/>
    <x v="526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7138-1458744183-119] [23/03/2016 at 14:43:00]"/>
  </r>
  <r>
    <s v="3637162-1458744210-216"/>
    <s v="Spot"/>
    <s v="3637162-1458744210-216"/>
    <n v="0"/>
    <d v="2016-03-31T00:00:00"/>
    <x v="527"/>
    <s v="216"/>
    <s v="SELL"/>
    <n v="3.3919763806877388"/>
    <x v="0"/>
    <x v="0"/>
    <n v="195.31"/>
    <s v="Deal"/>
    <m/>
    <s v="Original Amount [EUR 57.58], Merchant Amount [EUR 57.58], Customer Amount [TRY 195.31], Status [APPROVED], Operation [3DAUTH], UUID [3637162-1458744210-216] [23/03/2016 at 14:43:00]"/>
  </r>
  <r>
    <s v="3637126-1458744170-261"/>
    <s v="Spot"/>
    <s v="3637126-1458744170-261"/>
    <n v="0"/>
    <d v="2016-03-31T00:00:00"/>
    <x v="52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7126-1458744170-261] [23/03/2016 at 14:42:00]"/>
  </r>
  <r>
    <s v="3637123-1458744169-224"/>
    <s v="Spot"/>
    <s v="3637123-1458744169-224"/>
    <n v="0"/>
    <d v="2016-03-31T00:00:00"/>
    <x v="529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7123-1458744169-224] [23/03/2016 at 14:42:00]"/>
  </r>
  <r>
    <s v="3637165-1458744210-216"/>
    <s v="Spot"/>
    <s v="3637165-1458744210-216"/>
    <n v="0"/>
    <d v="2016-03-31T00:00:00"/>
    <x v="53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37165-1458744210-216] [23/03/2016 at 14:43:00]"/>
  </r>
  <r>
    <s v="3637144-1458744195-261"/>
    <s v="Spot"/>
    <s v="3637144-1458744195-261"/>
    <n v="0"/>
    <d v="2016-03-31T00:00:00"/>
    <x v="531"/>
    <s v="261"/>
    <s v="SELL"/>
    <n v="9.9545709478407183"/>
    <x v="0"/>
    <x v="1"/>
    <n v="532.47"/>
    <s v="Deal"/>
    <m/>
    <s v="Original Amount [EUR 53.49], Merchant Amount [EUR 53.49], Customer Amount [NOK 532.47], Status [APPROVED], Operation [3DAUTH], UUID [3637144-1458744195-261] [23/03/2016 at 14:43:00]"/>
  </r>
  <r>
    <s v="3637108-1458744148-107"/>
    <s v="Spot"/>
    <s v="3637108-1458744148-107"/>
    <n v="0"/>
    <d v="2016-03-31T00:00:00"/>
    <x v="532"/>
    <s v="107"/>
    <s v="SELL"/>
    <n v="3.3921885087153001"/>
    <x v="0"/>
    <x v="0"/>
    <n v="105.09"/>
    <s v="Deal"/>
    <m/>
    <s v="Original Amount [EUR 30.98], Merchant Amount [EUR 30.98], Customer Amount [TRY 105.09], Status [WAITING], Operation [3D], UUID [3637108-1458744148-107] [23/03/2016 at 14:42:00]"/>
  </r>
  <r>
    <s v="3637105-1458744147-187"/>
    <s v="Spot"/>
    <s v="3637105-1458744147-187"/>
    <n v="0"/>
    <d v="2016-03-31T00:00:00"/>
    <x v="533"/>
    <s v="187"/>
    <s v="SELL"/>
    <n v="9.9546313799621924"/>
    <x v="0"/>
    <x v="1"/>
    <n v="315.95999999999998"/>
    <s v="Deal"/>
    <m/>
    <s v="Original Amount [EUR 31.74], Merchant Amount [EUR 31.74], Customer Amount [NOK 315.96], Status [APPROVED], Operation [DIRECT], UUID [3637105-1458744147-187] [23/03/2016 at 14:42:00]"/>
  </r>
  <r>
    <s v="3637129-1458744172-101"/>
    <s v="Spot"/>
    <s v="3637129-1458744172-101"/>
    <n v="0"/>
    <d v="2016-03-31T00:00:00"/>
    <x v="534"/>
    <s v="101"/>
    <s v="SELL"/>
    <n v="3.3919809593555477"/>
    <x v="0"/>
    <x v="0"/>
    <n v="185.27"/>
    <s v="Deal"/>
    <m/>
    <s v="Original Amount [EUR 54.62], Merchant Amount [EUR 54.62], Customer Amount [TRY 185.27], Status [APPROVED], Operation [3DAUTH], UUID [3637129-1458744172-101] [23/03/2016 at 14:42:00]"/>
  </r>
  <r>
    <s v="3637093-1458744142-216"/>
    <s v="Spot"/>
    <s v="3637093-1458744142-216"/>
    <n v="0"/>
    <d v="2016-03-31T00:00:00"/>
    <x v="535"/>
    <s v="216"/>
    <s v="SELL"/>
    <n v="3.3919863919863924"/>
    <x v="0"/>
    <x v="0"/>
    <n v="179.47"/>
    <s v="Deal"/>
    <m/>
    <s v="Original Amount [EUR 52.91], Merchant Amount [EUR 52.91], Customer Amount [TRY 179.47], Status [WAITING], Operation [3D], UUID [3637093-1458744142-216] [23/03/2016 at 14:42:00]"/>
  </r>
  <r>
    <s v="3637081-1458744128-145"/>
    <s v="Spot"/>
    <s v="3637081-1458744128-145"/>
    <n v="0"/>
    <d v="2016-03-31T00:00:00"/>
    <x v="536"/>
    <s v="145"/>
    <s v="SELL"/>
    <n v="1.5431665203394789"/>
    <x v="0"/>
    <x v="2"/>
    <n v="105.46"/>
    <s v="Deal"/>
    <m/>
    <s v="Original Amount [EUR 68.34], Merchant Amount [EUR 68.34], Customer Amount [CAD 105.46], Status [APPROVED], Operation [DIRECT], UUID [3637081-1458744128-145] [23/03/2016 at 14:42:00]"/>
  </r>
  <r>
    <s v="3637078-1458744120-224"/>
    <s v="Spot"/>
    <s v="3637078-1458744120-224"/>
    <n v="0"/>
    <d v="2016-03-31T00:00:00"/>
    <x v="537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7078-1458744120-224] [23/03/2016 at 14:42:00]"/>
  </r>
  <r>
    <s v="3637075-1458744115-199"/>
    <s v="Spot"/>
    <s v="3637075-1458744115-199"/>
    <n v="0"/>
    <d v="2016-03-31T00:00:00"/>
    <x v="53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7075-1458744115-199] [23/03/2016 at 14:41:00]"/>
  </r>
  <r>
    <s v="3637090-1458744141-56"/>
    <s v="Spot"/>
    <s v="3637090-1458744141-56"/>
    <n v="0"/>
    <d v="2016-03-31T00:00:00"/>
    <x v="539"/>
    <s v="56"/>
    <s v="SELL"/>
    <n v="3.395392698369931"/>
    <x v="0"/>
    <x v="0"/>
    <n v="252.04"/>
    <s v="Deal"/>
    <m/>
    <s v="Original Amount [EUR 74.23], Merchant Amount [EUR 74.23], Customer Amount [TRY 252.04], Status [APPROVED], Operation [3DAUTH], UUID [3637090-1458744141-56] [23/03/2016 at 14:42:00]"/>
  </r>
  <r>
    <s v="3637063-1458744094-200"/>
    <s v="Spot"/>
    <s v="3637063-1458744094-200"/>
    <n v="0"/>
    <d v="2016-03-31T00:00:00"/>
    <x v="540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37063-1458744094-200] [23/03/2016 at 14:41:00]"/>
  </r>
  <r>
    <s v="3637054-1458744087-119"/>
    <s v="Spot"/>
    <s v="3637054-1458744087-119"/>
    <n v="0"/>
    <d v="2016-03-31T00:00:00"/>
    <x v="541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54-1458744087-119] [23/03/2016 at 14:41:00]"/>
  </r>
  <r>
    <s v="3637051-1458744086-126"/>
    <s v="Spot"/>
    <s v="3637051-1458744086-126"/>
    <n v="0"/>
    <d v="2016-03-31T00:00:00"/>
    <x v="542"/>
    <s v="126"/>
    <s v="SELL"/>
    <n v="9.9546341463414638"/>
    <x v="0"/>
    <x v="1"/>
    <n v="204.07"/>
    <s v="Deal"/>
    <m/>
    <s v="Original Amount [EUR 20.5], Merchant Amount [EUR 20.5], Customer Amount [NOK 204.07], Status [APPROVED], Operation [3DAUTH], UUID [3637051-1458744086-126] [23/03/2016 at 14:41:00]"/>
  </r>
  <r>
    <s v="3637027-1458744063-216"/>
    <s v="Spot"/>
    <s v="3637027-1458744063-216"/>
    <n v="0"/>
    <d v="2016-03-31T00:00:00"/>
    <x v="543"/>
    <s v="216"/>
    <s v="SELL"/>
    <n v="3.3955655526992286"/>
    <x v="0"/>
    <x v="0"/>
    <n v="105.67"/>
    <s v="Deal"/>
    <m/>
    <s v="Original Amount [EUR 31.12], Merchant Amount [EUR 31.12], Customer Amount [TRY 105.67], Status [WAITING], Operation [3D], UUID [3637027-1458744063-216] [23/03/2016 at 14:41:00]"/>
  </r>
  <r>
    <s v="3637024-1458744062-145"/>
    <s v="Spot"/>
    <s v="3637024-1458744062-145"/>
    <n v="0"/>
    <d v="2016-03-31T00:00:00"/>
    <x v="544"/>
    <s v="145"/>
    <s v="SELL"/>
    <n v="1.5513900178832709"/>
    <x v="0"/>
    <x v="2"/>
    <n v="477.13"/>
    <s v="Deal"/>
    <m/>
    <s v="Original Amount [EUR 307.55], Merchant Amount [EUR 307.55], Customer Amount [CAD 477.13], Status [APPROVED], Operation [DIRECT], UUID [3637024-1458744062-145] [23/03/2016 at 14:41:00]"/>
  </r>
  <r>
    <s v="3637015-1458744059-119"/>
    <s v="Spot"/>
    <s v="3637015-1458744059-119"/>
    <n v="0"/>
    <d v="2016-03-31T00:00:00"/>
    <x v="54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7015-1458744059-119] [23/03/2016 at 14:40:00]"/>
  </r>
  <r>
    <s v="3637009-1458744052-126"/>
    <s v="Spot"/>
    <s v="3637009-1458744052-126"/>
    <n v="0"/>
    <d v="2016-03-31T00:00:00"/>
    <x v="546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7009-1458744052-126] [23/03/2016 at 14:40:00]"/>
  </r>
  <r>
    <s v="3637006-1458744051-224"/>
    <s v="Spot"/>
    <s v="3637006-1458744051-224"/>
    <n v="0"/>
    <d v="2016-03-31T00:00:00"/>
    <x v="547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37006-1458744051-224] [23/03/2016 at 14:40:00]"/>
  </r>
  <r>
    <s v="3637000-1458744043-145"/>
    <s v="Spot"/>
    <s v="3637000-1458744043-145"/>
    <n v="0"/>
    <d v="2016-03-31T00:00:00"/>
    <x v="548"/>
    <s v="145"/>
    <s v="SELL"/>
    <n v="9.9547376274558559"/>
    <x v="0"/>
    <x v="1"/>
    <n v="400.28"/>
    <s v="Deal"/>
    <m/>
    <s v="Original Amount [EUR 40.21], Merchant Amount [EUR 40.21], Customer Amount [NOK 400.28], Status [APPROVED], Operation [DIRECT], UUID [3637000-1458744043-145] [23/03/2016 at 14:40:00]"/>
  </r>
  <r>
    <s v="3637045-1458744072-216"/>
    <s v="Spot"/>
    <s v="3637045-1458744072-216"/>
    <n v="0"/>
    <d v="2016-03-31T00:00:00"/>
    <x v="549"/>
    <s v="216"/>
    <s v="SELL"/>
    <n v="3.3953331078796078"/>
    <x v="0"/>
    <x v="0"/>
    <n v="100.4"/>
    <s v="Deal"/>
    <m/>
    <s v="Original Amount [EUR 29.57], Merchant Amount [EUR 29.57], Customer Amount [TRY 100.4], Status [APPROVED], Operation [3DAUTH], UUID [3637045-1458744072-216] [23/03/2016 at 14:41:00]"/>
  </r>
  <r>
    <s v="3637039-1458744071-119"/>
    <s v="Spot"/>
    <s v="3637039-1458744071-119"/>
    <n v="0"/>
    <d v="2016-03-31T00:00:00"/>
    <x v="550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7039-1458744071-119] [23/03/2016 at 14:41:00]"/>
  </r>
  <r>
    <s v="3636982-1458744035-199"/>
    <s v="Spot"/>
    <s v="3636982-1458744035-199"/>
    <n v="0"/>
    <d v="2016-03-31T00:00:00"/>
    <x v="551"/>
    <s v="199"/>
    <s v="SELL"/>
    <n v="9.954601226993864"/>
    <x v="0"/>
    <x v="1"/>
    <n v="162.26"/>
    <s v="Deal"/>
    <m/>
    <s v="Original Amount [EUR 16.3], Merchant Amount [EUR 16.3], Customer Amount [NOK 162.26], Status [APPROVED], Operation [DIRECT], UUID [3636982-1458744035-199] [23/03/2016 at 14:40:00]"/>
  </r>
  <r>
    <s v="3636973-1458744032-224"/>
    <s v="Spot"/>
    <s v="3636973-1458744032-224"/>
    <n v="0"/>
    <d v="2016-03-31T00:00:00"/>
    <x v="55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73-1458744032-224] [23/03/2016 at 14:40:00]"/>
  </r>
  <r>
    <s v="3637003-1458744047-107"/>
    <s v="Spot"/>
    <s v="3637003-1458744047-107"/>
    <n v="0"/>
    <d v="2016-03-31T00:00:00"/>
    <x v="553"/>
    <s v="107"/>
    <s v="SELL"/>
    <n v="3.3954802259887003"/>
    <x v="0"/>
    <x v="0"/>
    <n v="84.14"/>
    <s v="Deal"/>
    <m/>
    <s v="Original Amount [EUR 24.78], Merchant Amount [EUR 24.78], Customer Amount [TRY 84.14], Status [APPROVED], Operation [3DAUTH], UUID [3637003-1458744047-107] [23/03/2016 at 14:40:00]"/>
  </r>
  <r>
    <s v="3636964-1458744020-199"/>
    <s v="Spot"/>
    <s v="3636964-1458744020-199"/>
    <n v="0"/>
    <d v="2016-03-31T00:00:00"/>
    <x v="554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6964-1458744020-199] [23/03/2016 at 14:40:00]"/>
  </r>
  <r>
    <s v="3636958-1458744018-224"/>
    <s v="Spot"/>
    <s v="3636958-1458744018-224"/>
    <n v="0"/>
    <d v="2016-03-31T00:00:00"/>
    <x v="555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6958-1458744018-224] [23/03/2016 at 14:40:00]"/>
  </r>
  <r>
    <s v="3637036-1458744068-216"/>
    <s v="Spot"/>
    <s v="3637036-1458744068-216"/>
    <n v="0"/>
    <d v="2016-03-31T00:00:00"/>
    <x v="556"/>
    <s v="216"/>
    <s v="SELL"/>
    <n v="3.3955943093162002"/>
    <x v="0"/>
    <x v="0"/>
    <n v="73.989999999999995"/>
    <s v="Deal"/>
    <m/>
    <s v="Original Amount [EUR 21.79], Merchant Amount [EUR 21.79], Customer Amount [TRY 73.99], Status [APPROVED], Operation [3DAUTH], UUID [3637036-1458744068-216] [23/03/2016 at 14:41:00]"/>
  </r>
  <r>
    <s v="3636976-1458744032-56"/>
    <s v="Spot"/>
    <s v="3636976-1458744032-56"/>
    <n v="0"/>
    <d v="2016-03-31T00:00:00"/>
    <x v="557"/>
    <s v="56"/>
    <s v="SELL"/>
    <n v="3.3953188748121108"/>
    <x v="0"/>
    <x v="0"/>
    <n v="158.12"/>
    <s v="Deal"/>
    <m/>
    <s v="Original Amount [EUR 46.57], Merchant Amount [EUR 46.57], Customer Amount [TRY 158.12], Status [APPROVED], Operation [3DAUTH], UUID [3636976-1458744032-56] [23/03/2016 at 14:40:00]"/>
  </r>
  <r>
    <s v="3636952-1458744009-56"/>
    <s v="Spot"/>
    <s v="3636952-1458744009-56"/>
    <n v="0"/>
    <d v="2016-03-31T00:00:00"/>
    <x v="55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952-1458744009-56] [23/03/2016 at 14:40:00]"/>
  </r>
  <r>
    <s v="3636979-1458744034-56"/>
    <s v="Spot"/>
    <s v="3636979-1458744034-56"/>
    <n v="0"/>
    <d v="2016-03-31T00:00:00"/>
    <x v="559"/>
    <s v="56"/>
    <s v="SELL"/>
    <n v="3.3956386292834893"/>
    <x v="0"/>
    <x v="0"/>
    <n v="32.700000000000003"/>
    <s v="Deal"/>
    <m/>
    <s v="Original Amount [EUR 9.63], Merchant Amount [EUR 9.63], Customer Amount [TRY 32.7], Status [APPROVED], Operation [3DAUTH], UUID [3636979-1458744034-56] [23/03/2016 at 14:40:00]"/>
  </r>
  <r>
    <s v="3636913-1458743974-145"/>
    <s v="Spot"/>
    <s v="3636913-1458743974-145"/>
    <n v="0"/>
    <d v="2016-03-31T00:00:00"/>
    <x v="560"/>
    <s v="145"/>
    <s v="SELL"/>
    <n v="1.5515071700321919"/>
    <x v="0"/>
    <x v="2"/>
    <n v="106.03"/>
    <s v="Deal"/>
    <m/>
    <s v="Original Amount [EUR 68.34], Merchant Amount [EUR 68.34], Customer Amount [CAD 106.03], Status [APPROVED], Operation [DIRECT], UUID [3636913-1458743974-145] [23/03/2016 at 14:39:00]"/>
  </r>
  <r>
    <s v="3636898-1458743949-126"/>
    <s v="Spot"/>
    <s v="3636898-1458743949-126"/>
    <n v="0"/>
    <d v="2016-03-31T00:00:00"/>
    <x v="561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6898-1458743949-126] [23/03/2016 at 14:39:00]"/>
  </r>
  <r>
    <s v="3636946-1458744001-216"/>
    <s v="Spot"/>
    <s v="3636946-1458744001-216"/>
    <n v="0"/>
    <d v="2016-03-31T00:00:00"/>
    <x v="562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946-1458744001-216] [23/03/2016 at 14:40:00]"/>
  </r>
  <r>
    <s v="3636886-1458743934-119"/>
    <s v="Spot"/>
    <s v="3636886-1458743934-119"/>
    <n v="0"/>
    <d v="2016-03-31T00:00:00"/>
    <x v="563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886-1458743934-119] [23/03/2016 at 14:38:00]"/>
  </r>
  <r>
    <s v="3636877-1458743928-119"/>
    <s v="Spot"/>
    <s v="3636877-1458743928-119"/>
    <n v="0"/>
    <d v="2016-03-31T00:00:00"/>
    <x v="56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877-1458743928-119] [23/03/2016 at 14:38:00]"/>
  </r>
  <r>
    <s v="3636943-1458743994-196"/>
    <s v="Spot"/>
    <s v="3636943-1458743994-196"/>
    <n v="0"/>
    <d v="2016-03-31T00:00:00"/>
    <x v="565"/>
    <s v="196"/>
    <s v="SELL"/>
    <n v="9.9507015547971172"/>
    <x v="0"/>
    <x v="1"/>
    <n v="262.39999999999998"/>
    <s v="Deal"/>
    <m/>
    <s v="Original Amount [EUR 26.37], Merchant Amount [EUR 26.37], Customer Amount [NOK 262.4], Status [APPROVED], Operation [3DAUTH], UUID [3636943-1458743994-196] [23/03/2016 at 14:39:00]"/>
  </r>
  <r>
    <s v="3636895-1458743944-101"/>
    <s v="Spot"/>
    <s v="3636895-1458743944-101"/>
    <n v="0"/>
    <d v="2016-03-31T00:00:00"/>
    <x v="566"/>
    <s v="101"/>
    <s v="SELL"/>
    <n v="3.3880239520958084"/>
    <x v="0"/>
    <x v="0"/>
    <n v="28.29"/>
    <s v="Deal"/>
    <m/>
    <s v="Original Amount [EUR 8.35], Merchant Amount [EUR 8.35], Customer Amount [TRY 28.29], Status [APPROVED], Operation [3DAUTH], UUID [3636895-1458743944-101] [23/03/2016 at 14:39:00]"/>
  </r>
  <r>
    <s v="3636868-1458743919-119"/>
    <s v="Spot"/>
    <s v="3636868-1458743919-119"/>
    <n v="0"/>
    <d v="2016-03-31T00:00:00"/>
    <x v="567"/>
    <s v="119"/>
    <s v="SELL"/>
    <n v="9.9505714285714273"/>
    <x v="0"/>
    <x v="1"/>
    <n v="3482.7"/>
    <s v="Deal"/>
    <m/>
    <s v="Original Amount [EUR 350], Merchant Amount [EUR 350], Customer Amount [NOK 3482.7], Status [APPROVED], Operation [DIRECT], UUID [3636868-1458743919-119] [23/03/2016 at 14:38:00]"/>
  </r>
  <r>
    <s v="3636880-1458743932-102"/>
    <s v="Spot"/>
    <s v="3636880-1458743932-102"/>
    <n v="0"/>
    <d v="2016-03-31T00:00:00"/>
    <x v="568"/>
    <s v="102"/>
    <s v="SELL"/>
    <n v="3.3881720430107527"/>
    <x v="0"/>
    <x v="0"/>
    <n v="94.53"/>
    <s v="Deal"/>
    <m/>
    <s v="Original Amount [EUR 27.9], Merchant Amount [EUR 27.9], Customer Amount [TRY 94.53], Status [APPROVED], Operation [3DAUTH], UUID [3636880-1458743932-102] [23/03/2016 at 14:38:00]"/>
  </r>
  <r>
    <s v="3636856-1458743905-224"/>
    <s v="Spot"/>
    <s v="3636856-1458743905-224"/>
    <n v="0"/>
    <d v="2016-03-31T00:00:00"/>
    <x v="569"/>
    <s v="224"/>
    <s v="SELL"/>
    <n v="9.9507822685788803"/>
    <x v="0"/>
    <x v="1"/>
    <n v="305.29000000000002"/>
    <s v="Deal"/>
    <m/>
    <s v="Original Amount [EUR 30.68], Merchant Amount [EUR 30.68], Customer Amount [NOK 305.29], Status [APPROVED], Operation [DIRECT], UUID [3636856-1458743905-224] [23/03/2016 at 14:38:00]"/>
  </r>
  <r>
    <s v="3636853-1458743904-224"/>
    <s v="Spot"/>
    <s v="3636853-1458743904-224"/>
    <n v="0"/>
    <d v="2016-03-31T00:00:00"/>
    <x v="570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6853-1458743904-224] [23/03/2016 at 14:38:00]"/>
  </r>
  <r>
    <s v="3636847-1458743899-216"/>
    <s v="Spot"/>
    <s v="3636847-1458743899-216"/>
    <n v="0"/>
    <d v="2016-03-31T00:00:00"/>
    <x v="571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47-1458743899-216] [23/03/2016 at 14:38:00]"/>
  </r>
  <r>
    <s v="3636835-1458743881-145"/>
    <s v="Spot"/>
    <s v="3636835-1458743881-145"/>
    <n v="0"/>
    <d v="2016-03-31T00:00:00"/>
    <x v="572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835-1458743881-145] [23/03/2016 at 14:38:00]"/>
  </r>
  <r>
    <s v="3636832-1458743880-261"/>
    <s v="Spot"/>
    <s v="3636832-1458743880-261"/>
    <n v="0"/>
    <d v="2016-03-31T00:00:00"/>
    <x v="573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6832-1458743880-261] [23/03/2016 at 14:38:00]"/>
  </r>
  <r>
    <s v="3636805-1458743852-216"/>
    <s v="Spot"/>
    <s v="3636805-1458743852-216"/>
    <n v="0"/>
    <d v="2016-03-31T00:00:00"/>
    <x v="574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805-1458743852-216] [23/03/2016 at 14:37:00]"/>
  </r>
  <r>
    <s v="3636799-1458743846-199"/>
    <s v="Spot"/>
    <s v="3636799-1458743846-199"/>
    <n v="0"/>
    <d v="2016-03-31T00:00:00"/>
    <x v="575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6799-1458743846-199] [23/03/2016 at 14:37:00]"/>
  </r>
  <r>
    <s v="3636796-1458743844-224"/>
    <s v="Spot"/>
    <s v="3636796-1458743844-224"/>
    <n v="0"/>
    <d v="2016-03-31T00:00:00"/>
    <x v="576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796-1458743844-224] [23/03/2016 at 14:37:00]"/>
  </r>
  <r>
    <s v="3636910-1458743974-216"/>
    <s v="Spot"/>
    <s v="3636910-1458743974-216"/>
    <n v="0"/>
    <d v="2016-03-31T00:00:00"/>
    <x v="577"/>
    <s v="216"/>
    <s v="SELL"/>
    <n v="3.3878316805146071"/>
    <x v="0"/>
    <x v="0"/>
    <n v="126.4"/>
    <s v="Deal"/>
    <m/>
    <s v="Original Amount [EUR 37.31], Merchant Amount [EUR 37.31], Customer Amount [TRY 126.4], Status [APPROVED], Operation [3DAUTH], UUID [3636910-1458743974-216] [23/03/2016 at 14:39:00]"/>
  </r>
  <r>
    <s v="3636784-1458743837-216"/>
    <s v="Spot"/>
    <s v="3636784-1458743837-216"/>
    <n v="0"/>
    <d v="2016-03-31T00:00:00"/>
    <x v="578"/>
    <s v="216"/>
    <s v="SELL"/>
    <n v="3.3879060791251208"/>
    <x v="0"/>
    <x v="0"/>
    <n v="105.33"/>
    <s v="Deal"/>
    <m/>
    <s v="Original Amount [EUR 31.09], Merchant Amount [EUR 31.09], Customer Amount [TRY 105.33], Status [WAITING], Operation [3D], UUID [3636784-1458743837-216] [23/03/2016 at 14:37:00]"/>
  </r>
  <r>
    <s v="3636775-1458743813-261"/>
    <s v="Spot"/>
    <s v="3636775-1458743813-261"/>
    <n v="0"/>
    <d v="2016-03-31T00:00:00"/>
    <x v="579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775-1458743813-261] [23/03/2016 at 14:36:00]"/>
  </r>
  <r>
    <s v="3636772-1458743811-126"/>
    <s v="Spot"/>
    <s v="3636772-1458743811-126"/>
    <n v="0"/>
    <d v="2016-03-31T00:00:00"/>
    <x v="580"/>
    <s v="126"/>
    <s v="SELL"/>
    <n v="9.9505691056910557"/>
    <x v="0"/>
    <x v="1"/>
    <n v="4589.7"/>
    <s v="Deal"/>
    <m/>
    <s v="Original Amount [EUR 461.25], Merchant Amount [EUR 461.25], Customer Amount [NOK 4589.7], Status [APPROVED], Operation [DIRECT], UUID [3636772-1458743811-126] [23/03/2016 at 14:36:00]"/>
  </r>
  <r>
    <s v="3636769-1458743806-224"/>
    <s v="Spot"/>
    <s v="3636769-1458743806-224"/>
    <n v="0"/>
    <d v="2016-03-31T00:00:00"/>
    <x v="581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6769-1458743806-224] [23/03/2016 at 14:36:00]"/>
  </r>
  <r>
    <s v="3636754-1458743800-124"/>
    <s v="Spot"/>
    <s v="3636754-1458743800-124"/>
    <n v="0"/>
    <d v="2016-03-31T00:00:00"/>
    <x v="582"/>
    <s v="124"/>
    <s v="SELL"/>
    <n v="9.9508816120906811"/>
    <x v="0"/>
    <x v="1"/>
    <n v="158.02000000000001"/>
    <s v="Deal"/>
    <m/>
    <s v="Original Amount [EUR 15.88], Merchant Amount [EUR 15.88], Customer Amount [NOK 158.02], Status [APPROVED], Operation [DIRECT], UUID [3636754-1458743800-124] [23/03/2016 at 14:36:00]"/>
  </r>
  <r>
    <s v="3636808-1458743853-216"/>
    <s v="Spot"/>
    <s v="3636808-1458743853-216"/>
    <n v="0"/>
    <d v="2016-03-31T00:00:00"/>
    <x v="583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808-1458743853-216] [23/03/2016 at 14:37:00]"/>
  </r>
  <r>
    <s v="3636739-1458743787-126"/>
    <s v="Spot"/>
    <s v="3636739-1458743787-126"/>
    <n v="0"/>
    <d v="2016-03-31T00:00:00"/>
    <x v="584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6739-1458743787-126] [23/03/2016 at 14:36:00]"/>
  </r>
  <r>
    <s v="3636760-1458743804-216"/>
    <s v="Spot"/>
    <s v="3636760-1458743804-216"/>
    <n v="0"/>
    <d v="2016-03-31T00:00:00"/>
    <x v="58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6760-1458743804-216] [23/03/2016 at 14:36:00]"/>
  </r>
  <r>
    <s v="3636763-1458743804-216"/>
    <s v="Spot"/>
    <s v="3636763-1458743804-216"/>
    <n v="0"/>
    <d v="2016-03-31T00:00:00"/>
    <x v="586"/>
    <s v="216"/>
    <s v="SELL"/>
    <n v="3.3879476731717775"/>
    <x v="0"/>
    <x v="0"/>
    <n v="157.97999999999999"/>
    <s v="Deal"/>
    <m/>
    <s v="Original Amount [EUR 46.63], Merchant Amount [EUR 46.63], Customer Amount [TRY 157.98], Status [APPROVED], Operation [3DAUTH], UUID [3636763-1458743804-216] [23/03/2016 at 14:36:00]"/>
  </r>
  <r>
    <s v="3636709-1458743754-119"/>
    <s v="Spot"/>
    <s v="3636709-1458743754-119"/>
    <n v="0"/>
    <d v="2016-03-31T00:00:00"/>
    <x v="587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709-1458743754-119] [23/03/2016 at 14:35:00]"/>
  </r>
  <r>
    <s v="3636736-1458743785-56"/>
    <s v="Spot"/>
    <s v="3636736-1458743785-56"/>
    <n v="0"/>
    <d v="2016-03-31T00:00:00"/>
    <x v="588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6736-1458743785-56] [23/03/2016 at 14:36:00]"/>
  </r>
  <r>
    <s v="3636694-1458743744-126"/>
    <s v="Spot"/>
    <s v="3636694-1458743744-126"/>
    <n v="0"/>
    <d v="2016-03-31T00:00:00"/>
    <x v="589"/>
    <s v="126"/>
    <s v="SELL"/>
    <n v="9.9505691056910575"/>
    <x v="0"/>
    <x v="1"/>
    <n v="1529.9"/>
    <s v="Deal"/>
    <m/>
    <s v="Original Amount [EUR 153.75], Merchant Amount [EUR 153.75], Customer Amount [NOK 1529.9], Status [APPROVED], Operation [DIRECT], UUID [3636694-1458743744-126] [23/03/2016 at 14:35:00]"/>
  </r>
  <r>
    <s v="3636673-1458743731-187"/>
    <s v="Spot"/>
    <s v="3636673-1458743731-187"/>
    <n v="0"/>
    <d v="2016-03-31T00:00:00"/>
    <x v="590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6673-1458743731-187] [23/03/2016 at 14:35:00]"/>
  </r>
  <r>
    <s v="3636781-1458743828-101"/>
    <s v="Spot"/>
    <s v="3636781-1458743828-101"/>
    <n v="0"/>
    <d v="2016-03-31T00:00:00"/>
    <x v="591"/>
    <s v="101"/>
    <s v="SELL"/>
    <n v="3.3955938697318011"/>
    <x v="0"/>
    <x v="0"/>
    <n v="70.900000000000006"/>
    <s v="Deal"/>
    <m/>
    <s v="Original Amount [EUR 20.88], Merchant Amount [EUR 20.88], Customer Amount [TRY 70.9], Status [APPROVED], Operation [3DAUTH], UUID [3636781-1458743828-101] [23/03/2016 at 14:37:00]"/>
  </r>
  <r>
    <s v="3636667-1458743729-224"/>
    <s v="Spot"/>
    <s v="3636667-1458743729-224"/>
    <n v="0"/>
    <d v="2016-03-31T00:00:00"/>
    <x v="592"/>
    <s v="224"/>
    <s v="SELL"/>
    <n v="133.03761377344009"/>
    <x v="0"/>
    <x v="3"/>
    <n v="12131.7"/>
    <s v="Deal"/>
    <m/>
    <s v="Original Amount [EUR 91.19], Merchant Amount [EUR 91.19], Customer Amount [JPY 12131.7], Status [APPROVED], Operation [DIRECT], UUID [3636667-1458743729-224] [23/03/2016 at 14:35:00]"/>
  </r>
  <r>
    <s v="3636664-1458743728-224"/>
    <s v="Spot"/>
    <s v="3636664-1458743728-224"/>
    <n v="0"/>
    <d v="2016-03-31T00:00:00"/>
    <x v="593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6664-1458743728-224] [23/03/2016 at 14:35:00]"/>
  </r>
  <r>
    <s v="3636703-1458743752-216"/>
    <s v="Spot"/>
    <s v="3636703-1458743752-216"/>
    <n v="0"/>
    <d v="2016-03-31T00:00:00"/>
    <x v="594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703-1458743752-216] [23/03/2016 at 14:35:00]"/>
  </r>
  <r>
    <s v="3636649-1458743699-124"/>
    <s v="Spot"/>
    <s v="3636649-1458743699-124"/>
    <n v="0"/>
    <d v="2016-03-31T00:00:00"/>
    <x v="595"/>
    <s v="124"/>
    <s v="SELL"/>
    <n v="9.950897072710104"/>
    <x v="0"/>
    <x v="1"/>
    <n v="210.76"/>
    <s v="Deal"/>
    <m/>
    <s v="Original Amount [EUR 21.18], Merchant Amount [EUR 21.18], Customer Amount [NOK 210.76], Status [APPROVED], Operation [DIRECT], UUID [3636649-1458743699-124] [23/03/2016 at 14:34:00]"/>
  </r>
  <r>
    <s v="3636646-1458743696-216"/>
    <s v="Spot"/>
    <s v="3636646-1458743696-216"/>
    <n v="0"/>
    <d v="2016-03-31T00:00:00"/>
    <x v="596"/>
    <s v="216"/>
    <s v="SELL"/>
    <n v="3.3956801470588234"/>
    <x v="0"/>
    <x v="0"/>
    <n v="73.89"/>
    <s v="Deal"/>
    <m/>
    <s v="Original Amount [EUR 21.76], Merchant Amount [EUR 21.76], Customer Amount [TRY 73.89], Status [WAITING], Operation [3D], UUID [3636646-1458743696-216] [23/03/2016 at 14:34:00]"/>
  </r>
  <r>
    <s v="3636676-1458743731-216"/>
    <s v="Spot"/>
    <s v="3636676-1458743731-216"/>
    <n v="0"/>
    <d v="2016-03-31T00:00:00"/>
    <x v="597"/>
    <s v="216"/>
    <s v="SELL"/>
    <n v="3.3957528957528962"/>
    <x v="0"/>
    <x v="0"/>
    <n v="52.77"/>
    <s v="Deal"/>
    <m/>
    <s v="Original Amount [EUR 15.54], Merchant Amount [EUR 15.54], Customer Amount [TRY 52.77], Status [APPROVED], Operation [3DAUTH], UUID [3636676-1458743731-216] [23/03/2016 at 14:35:00]"/>
  </r>
  <r>
    <s v="3636658-1458743715-56"/>
    <s v="Spot"/>
    <s v="3636658-1458743715-56"/>
    <n v="0"/>
    <d v="2016-03-31T00:00:00"/>
    <x v="598"/>
    <s v="56"/>
    <s v="SELL"/>
    <n v="3.3953922789539233"/>
    <x v="0"/>
    <x v="0"/>
    <n v="54.53"/>
    <s v="Deal"/>
    <m/>
    <s v="Original Amount [EUR 16.06], Merchant Amount [EUR 16.06], Customer Amount [TRY 54.53], Status [APPROVED], Operation [3DAUTH], UUID [3636658-1458743715-56] [23/03/2016 at 14:35:00]"/>
  </r>
  <r>
    <s v="3636628-1458743672-145"/>
    <s v="Spot"/>
    <s v="3636628-1458743672-145"/>
    <n v="0"/>
    <d v="2016-03-31T00:00:00"/>
    <x v="599"/>
    <s v="145"/>
    <s v="SELL"/>
    <n v="9.950897072710104"/>
    <x v="0"/>
    <x v="1"/>
    <n v="210.76"/>
    <s v="Deal"/>
    <m/>
    <s v="Original Amount [EUR 21.18], Merchant Amount [EUR 21.18], Customer Amount [NOK 210.76], Status [APPROVED], Operation [DIRECT], UUID [3636628-1458743672-145] [23/03/2016 at 14:34:00]"/>
  </r>
  <r>
    <s v="3636616-1458743660-199"/>
    <s v="Spot"/>
    <s v="3636616-1458743660-199"/>
    <n v="0"/>
    <d v="2016-03-31T00:00:00"/>
    <x v="600"/>
    <s v="199"/>
    <s v="SELL"/>
    <n v="9.9506627393225333"/>
    <x v="0"/>
    <x v="1"/>
    <n v="270.26"/>
    <s v="Deal"/>
    <m/>
    <s v="Original Amount [EUR 27.16], Merchant Amount [EUR 27.16], Customer Amount [NOK 270.26], Status [APPROVED], Operation [DIRECT], UUID [3636616-1458743660-199] [23/03/2016 at 14:34:00]"/>
  </r>
  <r>
    <s v="3636613-1458743656-261"/>
    <s v="Spot"/>
    <s v="3636613-1458743656-261"/>
    <n v="0"/>
    <d v="2016-03-31T00:00:00"/>
    <x v="601"/>
    <s v="261"/>
    <s v="SELL"/>
    <n v="9.9506449803701624"/>
    <x v="0"/>
    <x v="1"/>
    <n v="532.26"/>
    <s v="Deal"/>
    <m/>
    <s v="Original Amount [EUR 53.49], Merchant Amount [EUR 53.49], Customer Amount [NOK 532.26], Status [APPROVED], Operation [DIRECT], UUID [3636613-1458743656-261] [23/03/2016 at 14:34:00]"/>
  </r>
  <r>
    <s v="3636610-1458743652-119"/>
    <s v="Spot"/>
    <s v="3636610-1458743652-119"/>
    <n v="0"/>
    <d v="2016-03-31T00:00:00"/>
    <x v="602"/>
    <s v="119"/>
    <s v="SELL"/>
    <n v="9.950566666666667"/>
    <x v="0"/>
    <x v="1"/>
    <n v="2985.17"/>
    <s v="Deal"/>
    <m/>
    <s v="Original Amount [EUR 300], Merchant Amount [EUR 300], Customer Amount [NOK 2985.17], Status [APPROVED], Operation [DIRECT], UUID [3636610-1458743652-119] [23/03/2016 at 14:34:00]"/>
  </r>
  <r>
    <s v="3636640-1458743692-216"/>
    <s v="Spot"/>
    <s v="3636640-1458743692-216"/>
    <n v="0"/>
    <d v="2016-03-31T00:00:00"/>
    <x v="603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640-1458743692-216] [23/03/2016 at 14:34:00]"/>
  </r>
  <r>
    <s v="3636601-1458743650-119"/>
    <s v="Spot"/>
    <s v="3636601-1458743650-119"/>
    <n v="0"/>
    <d v="2016-03-31T00:00:00"/>
    <x v="6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601-1458743650-119] [23/03/2016 at 14:34:00]"/>
  </r>
  <r>
    <s v="3636598-1458743648-200"/>
    <s v="Spot"/>
    <s v="3636598-1458743648-200"/>
    <n v="0"/>
    <d v="2016-03-31T00:00:00"/>
    <x v="605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6598-1458743648-200] [23/03/2016 at 14:34:00]"/>
  </r>
  <r>
    <s v="3636583-1458743641-119"/>
    <s v="Spot"/>
    <s v="3636583-1458743641-119"/>
    <n v="0"/>
    <d v="2016-03-31T00:00:00"/>
    <x v="60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583-1458743641-119] [23/03/2016 at 14:34:00]"/>
  </r>
  <r>
    <s v="3636622-1458743660-216"/>
    <s v="Spot"/>
    <s v="3636622-1458743660-216"/>
    <n v="0"/>
    <d v="2016-03-31T00:00:00"/>
    <x v="607"/>
    <s v="216"/>
    <s v="SELL"/>
    <n v="3.3954276037256563"/>
    <x v="0"/>
    <x v="0"/>
    <n v="40.1"/>
    <s v="Deal"/>
    <m/>
    <s v="Original Amount [EUR 11.81], Merchant Amount [EUR 11.81], Customer Amount [TRY 40.1], Status [APPROVED], Operation [3DAUTH], UUID [3636622-1458743660-216] [23/03/2016 at 14:34:00]"/>
  </r>
  <r>
    <s v="3636538-1458743606-216"/>
    <s v="Spot"/>
    <s v="3636538-1458743606-216"/>
    <n v="0"/>
    <d v="2016-03-31T00:00:00"/>
    <x v="608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538-1458743606-216] [23/03/2016 at 14:33:00]"/>
  </r>
  <r>
    <s v="3636535-1458743606-199"/>
    <s v="Spot"/>
    <s v="3636535-1458743606-199"/>
    <n v="0"/>
    <d v="2016-03-31T00:00:00"/>
    <x v="609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6535-1458743606-199] [23/03/2016 at 14:33:00]"/>
  </r>
  <r>
    <s v="3636595-1458743647-216"/>
    <s v="Spot"/>
    <s v="3636595-1458743647-216"/>
    <n v="0"/>
    <d v="2016-03-31T00:00:00"/>
    <x v="610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595-1458743647-216] [23/03/2016 at 14:34:00]"/>
  </r>
  <r>
    <s v="3636589-1458743642-154"/>
    <s v="Spot"/>
    <s v="3636589-1458743642-154"/>
    <n v="0"/>
    <d v="2016-03-31T00:00:00"/>
    <x v="611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589-1458743642-154] [23/03/2016 at 14:34:00]"/>
  </r>
  <r>
    <s v="3636571-1458743629-150"/>
    <s v="Spot"/>
    <s v="3636571-1458743629-150"/>
    <n v="0"/>
    <d v="2016-03-31T00:00:00"/>
    <x v="612"/>
    <s v="150"/>
    <s v="SELL"/>
    <n v="3.3956582633053225"/>
    <x v="0"/>
    <x v="0"/>
    <n v="48.49"/>
    <s v="Deal"/>
    <m/>
    <s v="Original Amount [EUR 14.28], Merchant Amount [EUR 14.28], Customer Amount [TRY 48.49], Status [APPROVED], Operation [3DAUTH], UUID [3636571-1458743629-150] [23/03/2016 at 14:33:00]"/>
  </r>
  <r>
    <s v="3636505-1458743575-224"/>
    <s v="Spot"/>
    <s v="3636505-1458743575-224"/>
    <n v="0"/>
    <d v="2016-03-31T00:00:00"/>
    <x v="613"/>
    <s v="224"/>
    <s v="SELL"/>
    <n v="132.83241260506699"/>
    <x v="0"/>
    <x v="3"/>
    <n v="89446.69"/>
    <s v="Deal"/>
    <m/>
    <s v="Original Amount [EUR 673.38], Merchant Amount [EUR 673.38], Customer Amount [JPY 89446.69], Status [APPROVED], Operation [DIRECT], UUID [3636505-1458743575-224] [23/03/2016 at 14:32:00]"/>
  </r>
  <r>
    <s v="3636541-1458743606-101"/>
    <s v="Spot"/>
    <s v="3636541-1458743606-101"/>
    <n v="0"/>
    <d v="2016-03-31T00:00:00"/>
    <x v="614"/>
    <s v="101"/>
    <s v="SELL"/>
    <n v="3.3878284923928077"/>
    <x v="0"/>
    <x v="0"/>
    <n v="244.94"/>
    <s v="Deal"/>
    <m/>
    <s v="Original Amount [EUR 72.3], Merchant Amount [EUR 72.3], Customer Amount [TRY 244.94], Status [APPROVED], Operation [3DAUTH], UUID [3636541-1458743606-101] [23/03/2016 at 14:33:00]"/>
  </r>
  <r>
    <s v="3636487-1458743549-199"/>
    <s v="Spot"/>
    <s v="3636487-1458743549-199"/>
    <n v="0"/>
    <d v="2016-03-31T00:00:00"/>
    <x v="61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6487-1458743549-199] [23/03/2016 at 14:32:00]"/>
  </r>
  <r>
    <s v="3636484-1458743543-224"/>
    <s v="Spot"/>
    <s v="3636484-1458743543-224"/>
    <n v="0"/>
    <d v="2016-03-31T00:00:00"/>
    <x v="616"/>
    <s v="224"/>
    <s v="SELL"/>
    <n v="132.83241951356672"/>
    <x v="0"/>
    <x v="3"/>
    <n v="18896.740000000002"/>
    <s v="Deal"/>
    <m/>
    <s v="Original Amount [EUR 142.26], Merchant Amount [EUR 142.26], Customer Amount [JPY 18896.74], Status [APPROVED], Operation [DIRECT], UUID [3636484-1458743543-224] [23/03/2016 at 14:32:00]"/>
  </r>
  <r>
    <s v="3636481-1458743539-216"/>
    <s v="Spot"/>
    <s v="3636481-1458743539-216"/>
    <n v="0"/>
    <d v="2016-03-31T00:00:00"/>
    <x v="617"/>
    <s v="216"/>
    <s v="SELL"/>
    <n v="3.3878676470588234"/>
    <x v="0"/>
    <x v="0"/>
    <n v="36.86"/>
    <s v="Deal"/>
    <m/>
    <s v="Original Amount [EUR 10.88], Merchant Amount [EUR 10.88], Customer Amount [TRY 36.86], Status [WAITING], Operation [3D], UUID [3636481-1458743539-216] [23/03/2016 at 14:32:00]"/>
  </r>
  <r>
    <s v="3636499-1458743568-56"/>
    <s v="Spot"/>
    <s v="3636499-1458743568-56"/>
    <n v="0"/>
    <d v="2016-03-31T00:00:00"/>
    <x v="618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6499-1458743568-56] [23/03/2016 at 14:32:00]"/>
  </r>
  <r>
    <s v="3636475-1458743537-199"/>
    <s v="Spot"/>
    <s v="3636475-1458743537-199"/>
    <n v="0"/>
    <d v="2016-03-31T00:00:00"/>
    <x v="619"/>
    <s v="199"/>
    <s v="SELL"/>
    <n v="9.9753566306891077"/>
    <x v="0"/>
    <x v="1"/>
    <n v="5286.54"/>
    <s v="Deal"/>
    <m/>
    <s v="Original Amount [EUR 529.96], Merchant Amount [EUR 529.96], Customer Amount [NOK 5286.54], Status [APPROVED], Operation [DIRECT], UUID [3636475-1458743537-199] [23/03/2016 at 14:32:00]"/>
  </r>
  <r>
    <s v="3636493-1458743561-216"/>
    <s v="Spot"/>
    <s v="3636493-1458743561-216"/>
    <n v="0"/>
    <d v="2016-03-31T00:00:00"/>
    <x v="620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93-1458743561-216] [23/03/2016 at 14:32:00]"/>
  </r>
  <r>
    <s v="3636463-1458743519-199"/>
    <s v="Spot"/>
    <s v="3636463-1458743519-199"/>
    <n v="0"/>
    <d v="2016-03-31T00:00:00"/>
    <x v="621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6463-1458743519-199] [23/03/2016 at 14:31:00]"/>
  </r>
  <r>
    <s v="3636457-1458743514-82"/>
    <s v="Spot"/>
    <s v="3636457-1458743514-82"/>
    <n v="0"/>
    <d v="2016-03-31T00:00:00"/>
    <x v="622"/>
    <s v="82"/>
    <s v="SELL"/>
    <n v="1.1852166525063721"/>
    <x v="0"/>
    <x v="7"/>
    <n v="13.95"/>
    <s v="Deal"/>
    <m/>
    <s v="Original Amount [USD 13.95], Merchant Amount [EUR 11.77], Customer Amount [USD 13.95], Status [APPROVED], Operation [STORED], UUID [3636457-1458743514-82] [23/03/2016 at 14:31:00]"/>
  </r>
  <r>
    <s v="3636448-1458743499-224"/>
    <s v="Spot"/>
    <s v="3636448-1458743499-224"/>
    <n v="0"/>
    <d v="2016-03-31T00:00:00"/>
    <x v="623"/>
    <s v="224"/>
    <s v="SELL"/>
    <n v="9.9753618724976896"/>
    <x v="0"/>
    <x v="1"/>
    <n v="647.79999999999995"/>
    <s v="Deal"/>
    <m/>
    <s v="Original Amount [EUR 64.94], Merchant Amount [EUR 64.94], Customer Amount [NOK 647.8], Status [APPROVED], Operation [DIRECT], UUID [3636448-1458743499-224] [23/03/2016 at 14:31:00]"/>
  </r>
  <r>
    <s v="3636439-1458743495-224"/>
    <s v="Spot"/>
    <s v="3636439-1458743495-224"/>
    <n v="0"/>
    <d v="2016-03-31T00:00:00"/>
    <x v="624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36439-1458743495-224] [23/03/2016 at 14:31:00]"/>
  </r>
  <r>
    <s v="3636433-1458743489-145"/>
    <s v="Spot"/>
    <s v="3636433-1458743489-145"/>
    <n v="0"/>
    <d v="2016-03-31T00:00:00"/>
    <x v="625"/>
    <s v="145"/>
    <s v="SELL"/>
    <n v="9.9753610875106205"/>
    <x v="0"/>
    <x v="1"/>
    <n v="1056.69"/>
    <s v="Deal"/>
    <m/>
    <s v="Original Amount [EUR 105.93], Merchant Amount [EUR 105.93], Customer Amount [NOK 1056.69], Status [APPROVED], Operation [DIRECT], UUID [3636433-1458743489-145] [23/03/2016 at 14:31:00]"/>
  </r>
  <r>
    <s v="3636415-1458743478-261"/>
    <s v="Spot"/>
    <s v="3636415-1458743478-261"/>
    <n v="0"/>
    <d v="2016-03-31T00:00:00"/>
    <x v="626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6415-1458743478-261] [23/03/2016 at 14:31:00]"/>
  </r>
  <r>
    <s v="3636412-1458743475-224"/>
    <s v="Spot"/>
    <s v="3636412-1458743475-224"/>
    <n v="0"/>
    <d v="2016-03-31T00:00:00"/>
    <x v="627"/>
    <s v="224"/>
    <s v="SELL"/>
    <n v="9.9755079320901761"/>
    <x v="0"/>
    <x v="1"/>
    <n v="358.42"/>
    <s v="Deal"/>
    <m/>
    <s v="Original Amount [EUR 35.93], Merchant Amount [EUR 35.93], Customer Amount [NOK 358.42], Status [APPROVED], Operation [DIRECT], UUID [3636412-1458743475-224] [23/03/2016 at 14:31:00]"/>
  </r>
  <r>
    <s v="3636406-1458743470-224"/>
    <s v="Spot"/>
    <s v="3636406-1458743470-224"/>
    <n v="0"/>
    <d v="2016-03-31T00:00:00"/>
    <x v="628"/>
    <s v="224"/>
    <s v="SELL"/>
    <n v="132.83256010122312"/>
    <x v="0"/>
    <x v="3"/>
    <n v="3149.46"/>
    <s v="Deal"/>
    <m/>
    <s v="Original Amount [EUR 23.71], Merchant Amount [EUR 23.71], Customer Amount [JPY 3149.46], Status [APPROVED], Operation [DIRECT], UUID [3636406-1458743470-224] [23/03/2016 at 14:31:00]"/>
  </r>
  <r>
    <s v="3636403-1458743462-101"/>
    <s v="Spot"/>
    <s v="3636403-1458743462-101"/>
    <n v="0"/>
    <d v="2016-03-31T00:00:00"/>
    <x v="629"/>
    <s v="101"/>
    <s v="SELL"/>
    <n v="3.3885429638854299"/>
    <x v="0"/>
    <x v="0"/>
    <n v="27.21"/>
    <s v="Deal"/>
    <m/>
    <s v="Original Amount [EUR 8.03], Merchant Amount [EUR 8.03], Customer Amount [TRY 27.21], Status [WAITING], Operation [3D], UUID [3636403-1458743462-101] [23/03/2016 at 14:31:00]"/>
  </r>
  <r>
    <s v="3636469-1458743524-101"/>
    <s v="Spot"/>
    <s v="3636469-1458743524-101"/>
    <n v="0"/>
    <d v="2016-03-31T00:00:00"/>
    <x v="63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6469-1458743524-101] [23/03/2016 at 14:32:00]"/>
  </r>
  <r>
    <s v="3636388-1458743450-260"/>
    <s v="Spot"/>
    <s v="3636388-1458743450-260"/>
    <n v="0"/>
    <d v="2016-03-31T00:00:00"/>
    <x v="631"/>
    <s v="260"/>
    <s v="SELL"/>
    <n v="9.7459999999999987"/>
    <x v="0"/>
    <x v="12"/>
    <n v="48.73"/>
    <s v="Deal"/>
    <m/>
    <s v="Original Amount [EUR 5], Merchant Amount [EUR 5], Customer Amount [SEK 48.73], Status [APPROVED], Operation [DIRECT], UUID [3636388-1458743450-260] [23/03/2016 at 14:30:00]"/>
  </r>
  <r>
    <s v="3636421-1458743481-216"/>
    <s v="Spot"/>
    <s v="3636421-1458743481-216"/>
    <n v="0"/>
    <d v="2016-03-31T00:00:00"/>
    <x v="632"/>
    <s v="216"/>
    <s v="SELL"/>
    <n v="3.388030888030888"/>
    <x v="0"/>
    <x v="0"/>
    <n v="52.65"/>
    <s v="Deal"/>
    <m/>
    <s v="Original Amount [EUR 15.54], Merchant Amount [EUR 15.54], Customer Amount [TRY 52.65], Status [APPROVED], Operation [3DAUTH], UUID [3636421-1458743481-216] [23/03/2016 at 14:31:00]"/>
  </r>
  <r>
    <s v="3636340-1458743421-119"/>
    <s v="Spot"/>
    <s v="3636340-1458743421-119"/>
    <n v="0"/>
    <d v="2016-03-31T00:00:00"/>
    <x v="633"/>
    <s v="119"/>
    <s v="SELL"/>
    <n v="9.9753666666666678"/>
    <x v="0"/>
    <x v="1"/>
    <n v="2992.61"/>
    <s v="Deal"/>
    <m/>
    <s v="Original Amount [EUR 300], Merchant Amount [EUR 300], Customer Amount [NOK 2992.61], Status [APPROVED], Operation [DIRECT], UUID [3636340-1458743421-119] [23/03/2016 at 14:30:00]"/>
  </r>
  <r>
    <s v="3636319-1458743396-119"/>
    <s v="Spot"/>
    <s v="3636319-1458743396-119"/>
    <n v="0"/>
    <d v="2016-03-31T00:00:00"/>
    <x v="63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6319-1458743396-119] [23/03/2016 at 14:29:00]"/>
  </r>
  <r>
    <s v="3636292-1458743372-224"/>
    <s v="Spot"/>
    <s v="3636292-1458743372-224"/>
    <n v="0"/>
    <d v="2016-03-31T00:00:00"/>
    <x v="635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36292-1458743372-224] [23/03/2016 at 14:29:00]"/>
  </r>
  <r>
    <s v="3636289-1458743369-199"/>
    <s v="Spot"/>
    <s v="3636289-1458743369-199"/>
    <n v="0"/>
    <d v="2016-03-31T00:00:00"/>
    <x v="636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6289-1458743369-199] [23/03/2016 at 14:29:00]"/>
  </r>
  <r>
    <s v="3636337-1458743419-216"/>
    <s v="Spot"/>
    <s v="3636337-1458743419-216"/>
    <n v="0"/>
    <d v="2016-03-31T00:00:00"/>
    <x v="637"/>
    <s v="216"/>
    <s v="SELL"/>
    <n v="3.397383658588891"/>
    <x v="0"/>
    <x v="0"/>
    <n v="158.41999999999999"/>
    <s v="Deal"/>
    <m/>
    <s v="Original Amount [EUR 46.63], Merchant Amount [EUR 46.63], Customer Amount [TRY 158.42], Status [APPROVED], Operation [3DAUTH], UUID [3636337-1458743419-216] [23/03/2016 at 14:30:00]"/>
  </r>
  <r>
    <s v="3636307-1458743385-107"/>
    <s v="Spot"/>
    <s v="3636307-1458743385-107"/>
    <n v="0"/>
    <d v="2016-03-31T00:00:00"/>
    <x v="638"/>
    <s v="107"/>
    <s v="SELL"/>
    <n v="3.3972399999999996"/>
    <x v="0"/>
    <x v="0"/>
    <n v="849.31"/>
    <s v="Deal"/>
    <m/>
    <s v="Original Amount [EUR 250], Merchant Amount [EUR 250], Customer Amount [TRY 849.31], Status [APPROVED], Operation [3DAUTH], UUID [3636307-1458743385-107] [23/03/2016 at 14:29:00]"/>
  </r>
  <r>
    <s v="3636265-1458743350-126"/>
    <s v="Spot"/>
    <s v="3636265-1458743350-126"/>
    <n v="0"/>
    <d v="2016-03-31T00:00:00"/>
    <x v="639"/>
    <s v="126"/>
    <s v="SELL"/>
    <n v="9.9545756097560982"/>
    <x v="0"/>
    <x v="1"/>
    <n v="5101.72"/>
    <s v="Deal"/>
    <m/>
    <s v="Original Amount [EUR 512.5], Merchant Amount [EUR 512.5], Customer Amount [NOK 5101.72], Status [APPROVED], Operation [DIRECT], UUID [3636265-1458743350-126] [23/03/2016 at 14:29:00]"/>
  </r>
  <r>
    <s v="3636298-1458743379-101"/>
    <s v="Spot"/>
    <s v="3636298-1458743379-101"/>
    <n v="0"/>
    <d v="2016-03-31T00:00:00"/>
    <x v="640"/>
    <s v="101"/>
    <s v="SELL"/>
    <n v="3.3972479601714838"/>
    <x v="0"/>
    <x v="0"/>
    <n v="491.31"/>
    <s v="Deal"/>
    <m/>
    <s v="Original Amount [EUR 144.62], Merchant Amount [EUR 144.62], Customer Amount [TRY 491.31], Status [APPROVED], Operation [3DAUTH], UUID [3636298-1458743379-101] [23/03/2016 at 14:29:00]"/>
  </r>
  <r>
    <s v="3636250-1458743336-199"/>
    <s v="Spot"/>
    <s v="3636250-1458743336-199"/>
    <n v="0"/>
    <d v="2016-03-31T00:00:00"/>
    <x v="641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6250-1458743336-199] [23/03/2016 at 14:28:00]"/>
  </r>
  <r>
    <s v="3636226-1458743316-82"/>
    <s v="Spot"/>
    <s v="3636226-1458743316-82"/>
    <n v="0"/>
    <d v="2016-03-31T00:00:00"/>
    <x v="642"/>
    <s v="82"/>
    <s v="SELL"/>
    <n v="1.1847310126582278"/>
    <x v="0"/>
    <x v="7"/>
    <n v="29.95"/>
    <s v="Deal"/>
    <m/>
    <s v="Original Amount [USD 29.95], Merchant Amount [EUR 25.28], Customer Amount [USD 29.95], Status [APPROVED], Operation [STORED], UUID [3636226-1458743316-82] [23/03/2016 at 14:28:00]"/>
  </r>
  <r>
    <s v="3636220-1458743312-119"/>
    <s v="Spot"/>
    <s v="3636220-1458743312-119"/>
    <n v="0"/>
    <d v="2016-03-31T00:00:00"/>
    <x v="64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6220-1458743312-119] [23/03/2016 at 14:28:00]"/>
  </r>
  <r>
    <s v="3636238-1458743322-216"/>
    <s v="Spot"/>
    <s v="3636238-1458743322-216"/>
    <n v="0"/>
    <d v="2016-03-31T00:00:00"/>
    <x v="644"/>
    <s v="216"/>
    <s v="SELL"/>
    <n v="3.3974530831099194"/>
    <x v="0"/>
    <x v="0"/>
    <n v="50.69"/>
    <s v="Deal"/>
    <m/>
    <s v="Original Amount [EUR 14.92], Merchant Amount [EUR 14.92], Customer Amount [TRY 50.69], Status [APPROVED], Operation [3DAUTH], UUID [3636238-1458743322-216] [23/03/2016 at 14:28:00]"/>
  </r>
  <r>
    <s v="3636184-1458743282-82"/>
    <s v="Spot"/>
    <s v="3636184-1458743282-82"/>
    <n v="0"/>
    <d v="2016-03-31T00:00:00"/>
    <x v="64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84-1458743282-82] [23/03/2016 at 14:28:00]"/>
  </r>
  <r>
    <s v="3636202-1458743298-216"/>
    <s v="Spot"/>
    <s v="3636202-1458743298-216"/>
    <n v="0"/>
    <d v="2016-03-31T00:00:00"/>
    <x v="646"/>
    <s v="216"/>
    <s v="SELL"/>
    <n v="3.3979678238780697"/>
    <x v="0"/>
    <x v="0"/>
    <n v="40.130000000000003"/>
    <s v="Deal"/>
    <m/>
    <s v="Original Amount [EUR 11.81], Merchant Amount [EUR 11.81], Customer Amount [TRY 40.13], Status [APPROVED], Operation [3DAUTH], UUID [3636202-1458743298-216] [23/03/2016 at 14:28:00]"/>
  </r>
  <r>
    <s v="3636271-1458743361-56"/>
    <s v="Spot"/>
    <s v="3636271-1458743361-56"/>
    <n v="0"/>
    <d v="2016-03-31T00:00:00"/>
    <x v="647"/>
    <s v="56"/>
    <s v="SELL"/>
    <n v="3.3977154724818273"/>
    <x v="0"/>
    <x v="0"/>
    <n v="32.72"/>
    <s v="Deal"/>
    <m/>
    <s v="Original Amount [EUR 9.63], Merchant Amount [EUR 9.63], Customer Amount [TRY 32.72], Status [APPROVED], Operation [3DAUTH], UUID [3636271-1458743361-56] [23/03/2016 at 14:29:00]"/>
  </r>
  <r>
    <s v="3636244-1458743328-216"/>
    <s v="Spot"/>
    <s v="3636244-1458743328-216"/>
    <n v="0"/>
    <d v="2016-03-31T00:00:00"/>
    <x v="648"/>
    <s v="216"/>
    <s v="SELL"/>
    <n v="3.3973684210526311"/>
    <x v="0"/>
    <x v="0"/>
    <n v="116.19"/>
    <s v="Deal"/>
    <m/>
    <s v="Original Amount [EUR 34.2], Merchant Amount [EUR 34.2], Customer Amount [TRY 116.19], Status [APPROVED], Operation [3DAUTH], UUID [3636244-1458743328-216] [23/03/2016 at 14:28:00]"/>
  </r>
  <r>
    <s v="3636154-1458743244-199"/>
    <s v="Spot"/>
    <s v="3636154-1458743244-199"/>
    <n v="0"/>
    <d v="2016-03-31T00:00:00"/>
    <x v="649"/>
    <s v="199"/>
    <s v="SELL"/>
    <n v="9.9551219512195122"/>
    <x v="0"/>
    <x v="1"/>
    <n v="102.04"/>
    <s v="Deal"/>
    <m/>
    <s v="Original Amount [EUR 10.25], Merchant Amount [EUR 10.25], Customer Amount [NOK 102.04], Status [APPROVED], Operation [DIRECT], UUID [3636154-1458743244-199] [23/03/2016 at 14:27:00]"/>
  </r>
  <r>
    <s v="3636145-1458743224-82"/>
    <s v="Spot"/>
    <s v="3636145-1458743224-82"/>
    <n v="0"/>
    <d v="2016-03-31T00:00:00"/>
    <x v="65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6145-1458743224-82] [23/03/2016 at 14:27:00]"/>
  </r>
  <r>
    <s v="3636160-1458743247-216"/>
    <s v="Spot"/>
    <s v="3636160-1458743247-216"/>
    <n v="0"/>
    <d v="2016-03-31T00:00:00"/>
    <x v="651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36160-1458743247-216] [23/03/2016 at 14:27:00]"/>
  </r>
  <r>
    <s v="3636166-1458743252-196"/>
    <s v="Spot"/>
    <s v="3636166-1458743252-196"/>
    <n v="0"/>
    <d v="2016-03-31T00:00:00"/>
    <x v="652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6166-1458743252-196] [23/03/2016 at 14:27:00]"/>
  </r>
  <r>
    <s v="3636127-1458743195-216"/>
    <s v="Spot"/>
    <s v="3636127-1458743195-216"/>
    <n v="0"/>
    <d v="2016-03-31T00:00:00"/>
    <x v="653"/>
    <s v="216"/>
    <s v="SELL"/>
    <n v="3.3961397058823528"/>
    <x v="0"/>
    <x v="0"/>
    <n v="36.950000000000003"/>
    <s v="Deal"/>
    <m/>
    <s v="Original Amount [EUR 10.88], Merchant Amount [EUR 10.88], Customer Amount [TRY 36.95], Status [WAITING], Operation [3D], UUID [3636127-1458743195-216] [23/03/2016 at 14:26:00]"/>
  </r>
  <r>
    <s v="3636124-1458743188-119"/>
    <s v="Spot"/>
    <s v="3636124-1458743188-119"/>
    <n v="0"/>
    <d v="2016-03-31T00:00:00"/>
    <x v="65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6124-1458743188-119] [23/03/2016 at 14:26:00]"/>
  </r>
  <r>
    <s v="3636148-1458743229-102"/>
    <s v="Spot"/>
    <s v="3636148-1458743229-102"/>
    <n v="0"/>
    <d v="2016-03-31T00:00:00"/>
    <x v="655"/>
    <s v="102"/>
    <s v="SELL"/>
    <n v="3.395483870967742"/>
    <x v="0"/>
    <x v="0"/>
    <n v="105.26"/>
    <s v="Deal"/>
    <m/>
    <s v="Original Amount [EUR 31], Merchant Amount [EUR 31], Customer Amount [TRY 105.26], Status [APPROVED], Operation [3DAUTH], UUID [3636148-1458743229-102] [23/03/2016 at 14:27:00]"/>
  </r>
  <r>
    <s v="3636121-1458743173-126"/>
    <s v="Spot"/>
    <s v="3636121-1458743173-126"/>
    <n v="0"/>
    <d v="2016-03-31T00:00:00"/>
    <x v="656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36121-1458743173-126] [23/03/2016 at 14:26:00]"/>
  </r>
  <r>
    <s v="3636163-1458743251-216"/>
    <s v="Spot"/>
    <s v="3636163-1458743251-216"/>
    <n v="0"/>
    <d v="2016-03-31T00:00:00"/>
    <x v="657"/>
    <s v="216"/>
    <s v="SELL"/>
    <n v="3.3956801470588234"/>
    <x v="0"/>
    <x v="0"/>
    <n v="73.89"/>
    <s v="Deal"/>
    <m/>
    <s v="Original Amount [EUR 21.76], Merchant Amount [EUR 21.76], Customer Amount [TRY 73.89], Status [APPROVED], Operation [3DAUTH], UUID [3636163-1458743251-216] [23/03/2016 at 14:27:00]"/>
  </r>
  <r>
    <s v="3636091-1458743131-224"/>
    <s v="Spot"/>
    <s v="3636091-1458743131-224"/>
    <n v="0"/>
    <d v="2016-03-31T00:00:00"/>
    <x v="658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36091-1458743131-224] [23/03/2016 at 14:25:00]"/>
  </r>
  <r>
    <s v="3636085-1458743130-145"/>
    <s v="Spot"/>
    <s v="3636085-1458743130-145"/>
    <n v="0"/>
    <d v="2016-03-31T00:00:00"/>
    <x v="65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6085-1458743130-145] [23/03/2016 at 14:25:00]"/>
  </r>
  <r>
    <s v="3636079-1458743126-224"/>
    <s v="Spot"/>
    <s v="3636079-1458743126-224"/>
    <n v="0"/>
    <d v="2016-03-31T00:00:00"/>
    <x v="660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6079-1458743126-224] [23/03/2016 at 14:25:00]"/>
  </r>
  <r>
    <s v="3636076-1458743122-119"/>
    <s v="Spot"/>
    <s v="3636076-1458743122-119"/>
    <n v="0"/>
    <d v="2016-03-31T00:00:00"/>
    <x v="66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6076-1458743122-119] [23/03/2016 at 14:25:00]"/>
  </r>
  <r>
    <s v="3636073-1458743120-261"/>
    <s v="Spot"/>
    <s v="3636073-1458743120-261"/>
    <n v="0"/>
    <d v="2016-03-31T00:00:00"/>
    <x v="662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36073-1458743120-261] [23/03/2016 at 14:25:00]"/>
  </r>
  <r>
    <s v="3636106-1458743154-154"/>
    <s v="Spot"/>
    <s v="3636106-1458743154-154"/>
    <n v="0"/>
    <d v="2016-03-31T00:00:00"/>
    <x v="663"/>
    <s v="154"/>
    <s v="SELL"/>
    <n v="9.950897072710104"/>
    <x v="0"/>
    <x v="1"/>
    <n v="210.76"/>
    <s v="Deal"/>
    <m/>
    <s v="Original Amount [EUR 21.18], Merchant Amount [EUR 21.18], Customer Amount [NOK 210.76], Status [APPROVED], Operation [3DAUTH], UUID [3636106-1458743154-154] [23/03/2016 at 14:25:00]"/>
  </r>
  <r>
    <s v="3636040-1458743090-119"/>
    <s v="Spot"/>
    <s v="3636040-1458743090-119"/>
    <n v="0"/>
    <d v="2016-03-31T00:00:00"/>
    <x v="664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6040-1458743090-119] [23/03/2016 at 14:24:00]"/>
  </r>
  <r>
    <s v="3636037-1458743083-56"/>
    <s v="Spot"/>
    <s v="3636037-1458743083-56"/>
    <n v="0"/>
    <d v="2016-03-31T00:00:00"/>
    <x v="665"/>
    <s v="56"/>
    <s v="SELL"/>
    <n v="3.3953862660944205"/>
    <x v="0"/>
    <x v="0"/>
    <n v="63.29"/>
    <s v="Deal"/>
    <m/>
    <s v="Original Amount [EUR 18.64], Merchant Amount [EUR 18.64], Customer Amount [TRY 63.29], Status [APPROVED], Operation [3DAUTH], UUID [3636037-1458743083-56] [23/03/2016 at 14:24:00]"/>
  </r>
  <r>
    <s v="3636019-1458743066-199"/>
    <s v="Spot"/>
    <s v="3636019-1458743066-199"/>
    <n v="0"/>
    <d v="2016-03-31T00:00:00"/>
    <x v="66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6019-1458743066-199] [23/03/2016 at 14:24:00]"/>
  </r>
  <r>
    <s v="3636034-1458743080-264"/>
    <s v="Spot"/>
    <s v="3636034-1458743080-264"/>
    <n v="0"/>
    <d v="2016-03-31T00:00:00"/>
    <x v="667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6034-1458743080-264] [23/03/2016 at 14:24:00]"/>
  </r>
  <r>
    <s v="3636004-1458743056-56"/>
    <s v="Spot"/>
    <s v="3636004-1458743056-56"/>
    <n v="0"/>
    <d v="2016-03-31T00:00:00"/>
    <x v="668"/>
    <s v="56"/>
    <s v="SELL"/>
    <n v="3.3956386292834893"/>
    <x v="0"/>
    <x v="0"/>
    <n v="32.700000000000003"/>
    <s v="Deal"/>
    <m/>
    <s v="Original Amount [EUR 9.63], Merchant Amount [EUR 9.63], Customer Amount [TRY 32.7], Status [WAITING], Operation [3D], UUID [3636004-1458743056-56] [23/03/2016 at 14:24:00]"/>
  </r>
  <r>
    <s v="3636031-1458743080-216"/>
    <s v="Spot"/>
    <s v="3636031-1458743080-216"/>
    <n v="0"/>
    <d v="2016-03-31T00:00:00"/>
    <x v="669"/>
    <s v="216"/>
    <s v="SELL"/>
    <n v="3.3956256030878094"/>
    <x v="0"/>
    <x v="0"/>
    <n v="105.57"/>
    <s v="Deal"/>
    <m/>
    <s v="Original Amount [EUR 31.09], Merchant Amount [EUR 31.09], Customer Amount [TRY 105.57], Status [APPROVED], Operation [3DAUTH], UUID [3636031-1458743080-216] [23/03/2016 at 14:24:00]"/>
  </r>
  <r>
    <s v="3635992-1458743046-199"/>
    <s v="Spot"/>
    <s v="3635992-1458743046-199"/>
    <n v="0"/>
    <d v="2016-03-31T00:00:00"/>
    <x v="670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5992-1458743046-199] [23/03/2016 at 14:24:00]"/>
  </r>
  <r>
    <s v="3635989-1458743044-224"/>
    <s v="Spot"/>
    <s v="3635989-1458743044-224"/>
    <n v="0"/>
    <d v="2016-03-31T00:00:00"/>
    <x v="671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5989-1458743044-224] [23/03/2016 at 14:24:00]"/>
  </r>
  <r>
    <s v="3635965-1458743028-199"/>
    <s v="Spot"/>
    <s v="3635965-1458743028-199"/>
    <n v="0"/>
    <d v="2016-03-31T00:00:00"/>
    <x v="67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5965-1458743028-199] [23/03/2016 at 14:23:00]"/>
  </r>
  <r>
    <s v="3636007-1458743057-56"/>
    <s v="Spot"/>
    <s v="3636007-1458743057-56"/>
    <n v="0"/>
    <d v="2016-03-31T00:00:00"/>
    <x v="673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6007-1458743057-56] [23/03/2016 at 14:24:00]"/>
  </r>
  <r>
    <s v="3635995-1458743052-216"/>
    <s v="Spot"/>
    <s v="3635995-1458743052-216"/>
    <n v="0"/>
    <d v="2016-03-31T00:00:00"/>
    <x v="674"/>
    <s v="216"/>
    <s v="SELL"/>
    <n v="3.3920406435224386"/>
    <x v="0"/>
    <x v="0"/>
    <n v="40.06"/>
    <s v="Deal"/>
    <m/>
    <s v="Original Amount [EUR 11.81], Merchant Amount [EUR 11.81], Customer Amount [TRY 40.06], Status [APPROVED], Operation [3DAUTH], UUID [3635995-1458743052-216] [23/03/2016 at 14:24:00]"/>
  </r>
  <r>
    <s v="3635998-1458743055-107"/>
    <s v="Spot"/>
    <s v="3635998-1458743055-107"/>
    <n v="0"/>
    <d v="2016-03-31T00:00:00"/>
    <x v="675"/>
    <s v="107"/>
    <s v="SELL"/>
    <n v="3.3919708029197082"/>
    <x v="0"/>
    <x v="0"/>
    <n v="418.23"/>
    <s v="Deal"/>
    <m/>
    <s v="Original Amount [EUR 123.3], Merchant Amount [EUR 123.3], Customer Amount [TRY 418.23], Status [APPROVED], Operation [3DAUTH], UUID [3635998-1458743055-107] [23/03/2016 at 14:24:00]"/>
  </r>
  <r>
    <s v="3635986-1458743038-216"/>
    <s v="Spot"/>
    <s v="3635986-1458743038-216"/>
    <n v="0"/>
    <d v="2016-03-31T00:00:00"/>
    <x v="676"/>
    <s v="216"/>
    <s v="SELL"/>
    <n v="3.3920036764705883"/>
    <x v="0"/>
    <x v="0"/>
    <n v="73.81"/>
    <s v="Deal"/>
    <m/>
    <s v="Original Amount [EUR 21.76], Merchant Amount [EUR 21.76], Customer Amount [TRY 73.81], Status [APPROVED], Operation [3DAUTH], UUID [3635986-1458743038-216] [23/03/2016 at 14:23:00]"/>
  </r>
  <r>
    <s v="3635923-1458742996-216"/>
    <s v="Spot"/>
    <s v="3635923-1458742996-216"/>
    <n v="0"/>
    <d v="2016-03-31T00:00:00"/>
    <x v="677"/>
    <s v="216"/>
    <s v="SELL"/>
    <n v="3.3925353925353927"/>
    <x v="0"/>
    <x v="0"/>
    <n v="52.72"/>
    <s v="Deal"/>
    <m/>
    <s v="Original Amount [EUR 15.54], Merchant Amount [EUR 15.54], Customer Amount [TRY 52.72], Status [WAITING], Operation [3D], UUID [3635923-1458742996-216] [23/03/2016 at 14:23:00]"/>
  </r>
  <r>
    <s v="3635917-1458742980-82"/>
    <s v="Spot"/>
    <s v="3635917-1458742980-82"/>
    <n v="0"/>
    <d v="2016-03-31T00:00:00"/>
    <x v="67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5917-1458742980-82] [23/03/2016 at 14:23:00]"/>
  </r>
  <r>
    <s v="3635908-1458742963-264"/>
    <s v="Spot"/>
    <s v="3635908-1458742963-264"/>
    <n v="0"/>
    <d v="2016-03-31T00:00:00"/>
    <x v="679"/>
    <s v="264"/>
    <s v="SELL"/>
    <n v="3.3922829581993574"/>
    <x v="0"/>
    <x v="0"/>
    <n v="10.55"/>
    <s v="Deal"/>
    <m/>
    <s v="Original Amount [TRY 10], Merchant Amount [EUR 3.11], Customer Amount [TRY 10.55], Status [WAITING], Operation [3D], UUID [3635908-1458742963-264] [23/03/2016 at 14:22:00]"/>
  </r>
  <r>
    <s v="3635914-1458742969-216"/>
    <s v="Spot"/>
    <s v="3635914-1458742969-216"/>
    <n v="0"/>
    <d v="2016-03-31T00:00:00"/>
    <x v="680"/>
    <s v="216"/>
    <s v="SELL"/>
    <n v="3.3925353925353927"/>
    <x v="0"/>
    <x v="0"/>
    <n v="52.72"/>
    <s v="Deal"/>
    <m/>
    <s v="Original Amount [EUR 15.54], Merchant Amount [EUR 15.54], Customer Amount [TRY 52.72], Status [APPROVED], Operation [3DAUTH], UUID [3635914-1458742969-216] [23/03/2016 at 14:22:00]"/>
  </r>
  <r>
    <s v="3635872-1458742907-119"/>
    <s v="Spot"/>
    <s v="3635872-1458742907-119"/>
    <n v="0"/>
    <d v="2016-03-31T00:00:00"/>
    <x v="68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5872-1458742907-119] [23/03/2016 at 14:21:00]"/>
  </r>
  <r>
    <s v="3635860-1458742892-187"/>
    <s v="Spot"/>
    <s v="3635860-1458742892-187"/>
    <n v="0"/>
    <d v="2016-03-31T00:00:00"/>
    <x v="682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860-1458742892-187] [23/03/2016 at 14:21:00]"/>
  </r>
  <r>
    <s v="3635863-1458742895-216"/>
    <s v="Spot"/>
    <s v="3635863-1458742895-216"/>
    <n v="0"/>
    <d v="2016-03-31T00:00:00"/>
    <x v="683"/>
    <s v="216"/>
    <s v="SELL"/>
    <n v="3.3924231593995713"/>
    <x v="0"/>
    <x v="0"/>
    <n v="47.46"/>
    <s v="Deal"/>
    <m/>
    <s v="Original Amount [EUR 13.99], Merchant Amount [EUR 13.99], Customer Amount [TRY 47.46], Status [APPROVED], Operation [3DAUTH], UUID [3635863-1458742895-216] [23/03/2016 at 14:21:00]"/>
  </r>
  <r>
    <s v="3635857-1458742885-56"/>
    <s v="Spot"/>
    <s v="3635857-1458742885-56"/>
    <n v="0"/>
    <d v="2016-03-31T00:00:00"/>
    <x v="684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857-1458742885-56] [23/03/2016 at 14:21:00]"/>
  </r>
  <r>
    <s v="3635830-1458742853-261"/>
    <s v="Spot"/>
    <s v="3635830-1458742853-261"/>
    <n v="0"/>
    <d v="2016-03-31T00:00:00"/>
    <x v="685"/>
    <s v="261"/>
    <s v="SELL"/>
    <n v="9.9757009345794394"/>
    <x v="0"/>
    <x v="1"/>
    <n v="106.74"/>
    <s v="Deal"/>
    <m/>
    <s v="Original Amount [EUR 10.7], Merchant Amount [EUR 10.7], Customer Amount [NOK 106.74], Status [APPROVED], Operation [DIRECT], UUID [3635830-1458742853-261] [23/03/2016 at 14:20:00]"/>
  </r>
  <r>
    <s v="3635854-1458742883-56"/>
    <s v="Spot"/>
    <s v="3635854-1458742883-56"/>
    <n v="0"/>
    <d v="2016-03-31T00:00:00"/>
    <x v="686"/>
    <s v="56"/>
    <s v="SELL"/>
    <n v="3.3977128335451079"/>
    <x v="0"/>
    <x v="0"/>
    <n v="53.48"/>
    <s v="Deal"/>
    <m/>
    <s v="Original Amount [EUR 15.74], Merchant Amount [EUR 15.74], Customer Amount [TRY 53.48], Status [APPROVED], Operation [3DAUTH], UUID [3635854-1458742883-56] [23/03/2016 at 14:21:00]"/>
  </r>
  <r>
    <s v="3635818-1458742846-261"/>
    <s v="Spot"/>
    <s v="3635818-1458742846-261"/>
    <n v="0"/>
    <d v="2016-03-31T00:00:00"/>
    <x v="687"/>
    <s v="261"/>
    <s v="SELL"/>
    <n v="9.9754159656010479"/>
    <x v="0"/>
    <x v="1"/>
    <n v="1067.17"/>
    <s v="Deal"/>
    <m/>
    <s v="Original Amount [EUR 106.98], Merchant Amount [EUR 106.98], Customer Amount [NOK 1067.17], Status [APPROVED], Operation [DIRECT], UUID [3635818-1458742846-261] [23/03/2016 at 14:20:00]"/>
  </r>
  <r>
    <s v="3635866-1458742899-216"/>
    <s v="Spot"/>
    <s v="3635866-1458742899-216"/>
    <n v="0"/>
    <d v="2016-03-31T00:00:00"/>
    <x v="688"/>
    <s v="216"/>
    <s v="SELL"/>
    <n v="3.3972338372467035"/>
    <x v="0"/>
    <x v="0"/>
    <n v="105.62"/>
    <s v="Deal"/>
    <m/>
    <s v="Original Amount [EUR 31.09], Merchant Amount [EUR 31.09], Customer Amount [TRY 105.62], Status [APPROVED], Operation [3DAUTH], UUID [3635866-1458742899-216] [23/03/2016 at 14:21:00]"/>
  </r>
  <r>
    <s v="3635797-1458742832-216"/>
    <s v="Spot"/>
    <s v="3635797-1458742832-216"/>
    <n v="0"/>
    <d v="2016-03-31T00:00:00"/>
    <x v="689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797-1458742832-216] [23/03/2016 at 14:20:00]"/>
  </r>
  <r>
    <s v="3635869-1458742905-216"/>
    <s v="Spot"/>
    <s v="3635869-1458742905-216"/>
    <n v="0"/>
    <d v="2016-03-31T00:00:00"/>
    <x v="690"/>
    <s v="216"/>
    <s v="SELL"/>
    <n v="3.3974267333809864"/>
    <x v="0"/>
    <x v="0"/>
    <n v="47.53"/>
    <s v="Deal"/>
    <m/>
    <s v="Original Amount [EUR 13.99], Merchant Amount [EUR 13.99], Customer Amount [TRY 47.53], Status [APPROVED], Operation [3DAUTH], UUID [3635869-1458742905-216] [23/03/2016 at 14:21:00]"/>
  </r>
  <r>
    <s v="3635785-1458742821-119"/>
    <s v="Spot"/>
    <s v="3635785-1458742821-119"/>
    <n v="0"/>
    <d v="2016-03-31T00:00:00"/>
    <x v="691"/>
    <s v="119"/>
    <s v="SELL"/>
    <n v="9.9756"/>
    <x v="0"/>
    <x v="1"/>
    <n v="249.39"/>
    <s v="Deal"/>
    <m/>
    <s v="Original Amount [EUR 25], Merchant Amount [EUR 25], Customer Amount [NOK 249.39], Status [APPROVED], Operation [DIRECT], UUID [3635785-1458742821-119] [23/03/2016 at 14:20:00]"/>
  </r>
  <r>
    <s v="3635836-1458742855-200"/>
    <s v="Spot"/>
    <s v="3635836-1458742855-200"/>
    <n v="0"/>
    <d v="2016-03-31T00:00:00"/>
    <x v="692"/>
    <s v="200"/>
    <s v="SELL"/>
    <n v="9.9753537197626656"/>
    <x v="0"/>
    <x v="1"/>
    <n v="218.56"/>
    <s v="Deal"/>
    <m/>
    <s v="Original Amount [EUR 21.91], Merchant Amount [EUR 21.91], Customer Amount [NOK 218.56], Status [APPROVED], Operation [3DAUTH], UUID [3635836-1458742855-200] [23/03/2016 at 14:20:00]"/>
  </r>
  <r>
    <s v="3635770-1458742803-134"/>
    <s v="Spot"/>
    <s v="3635770-1458742803-134"/>
    <n v="0"/>
    <d v="2016-03-31T00:00:00"/>
    <x v="693"/>
    <s v="134"/>
    <s v="SELL"/>
    <n v="132.99332621462895"/>
    <x v="0"/>
    <x v="3"/>
    <n v="4981.93"/>
    <s v="Deal"/>
    <m/>
    <s v="Original Amount [EUR 37.46], Merchant Amount [EUR 37.46], Customer Amount [JPY 4981.93], Status [APPROVED], Operation [DIRECT], UUID [3635770-1458742803-134] [23/03/2016 at 14:20:00]"/>
  </r>
  <r>
    <s v="3635803-1458742834-216"/>
    <s v="Spot"/>
    <s v="3635803-1458742834-216"/>
    <n v="0"/>
    <d v="2016-03-31T00:00:00"/>
    <x v="694"/>
    <s v="216"/>
    <s v="SELL"/>
    <n v="3.397642015005359"/>
    <x v="0"/>
    <x v="0"/>
    <n v="63.4"/>
    <s v="Deal"/>
    <m/>
    <s v="Original Amount [EUR 18.66], Merchant Amount [EUR 18.66], Customer Amount [TRY 63.4], Status [APPROVED], Operation [3DAUTH], UUID [3635803-1458742834-216] [23/03/2016 at 14:20:00]"/>
  </r>
  <r>
    <s v="3635791-1458742830-261"/>
    <s v="Spot"/>
    <s v="3635791-1458742830-261"/>
    <n v="0"/>
    <d v="2016-03-31T00:00:00"/>
    <x v="695"/>
    <s v="261"/>
    <s v="SELL"/>
    <n v="9.975427350427351"/>
    <x v="0"/>
    <x v="1"/>
    <n v="746.96"/>
    <s v="Deal"/>
    <m/>
    <s v="Original Amount [EUR 74.88], Merchant Amount [EUR 74.88], Customer Amount [NOK 746.96], Status [APPROVED], Operation [3DAUTH], UUID [3635791-1458742830-261] [23/03/2016 at 14:20:00]"/>
  </r>
  <r>
    <s v="3635740-1458742776-119"/>
    <s v="Spot"/>
    <s v="3635740-1458742776-119"/>
    <n v="0"/>
    <d v="2016-03-31T00:00:00"/>
    <x v="696"/>
    <s v="119"/>
    <s v="SELL"/>
    <n v="9.9754000000000005"/>
    <x v="0"/>
    <x v="1"/>
    <n v="1496.31"/>
    <s v="Deal"/>
    <m/>
    <s v="Original Amount [EUR 150], Merchant Amount [EUR 150], Customer Amount [NOK 1496.31], Status [APPROVED], Operation [DIRECT], UUID [3635740-1458742776-119] [23/03/2016 at 14:19:00]"/>
  </r>
  <r>
    <s v="3635848-1458742877-216"/>
    <s v="Spot"/>
    <s v="3635848-1458742877-216"/>
    <n v="0"/>
    <d v="2016-03-31T00:00:00"/>
    <x v="697"/>
    <s v="216"/>
    <s v="SELL"/>
    <n v="3.3976311336717426"/>
    <x v="0"/>
    <x v="0"/>
    <n v="40.159999999999997"/>
    <s v="Deal"/>
    <m/>
    <s v="Original Amount [EUR 11.82], Merchant Amount [EUR 11.82], Customer Amount [TRY 40.16], Status [APPROVED], Operation [3DAUTH], UUID [3635848-1458742877-216] [23/03/2016 at 14:21:00]"/>
  </r>
  <r>
    <s v="3635743-1458742776-102"/>
    <s v="Spot"/>
    <s v="3635743-1458742776-102"/>
    <n v="0"/>
    <d v="2016-03-31T00:00:00"/>
    <x v="698"/>
    <s v="102"/>
    <s v="SELL"/>
    <n v="3.3974193548387093"/>
    <x v="0"/>
    <x v="0"/>
    <n v="105.32"/>
    <s v="Deal"/>
    <m/>
    <s v="Original Amount [EUR 31], Merchant Amount [EUR 31], Customer Amount [TRY 105.32], Status [APPROVED], Operation [3DAUTH], UUID [3635743-1458742776-102] [23/03/2016 at 14:19:00]"/>
  </r>
  <r>
    <s v="3635710-1458742756-224"/>
    <s v="Spot"/>
    <s v="3635710-1458742756-224"/>
    <n v="0"/>
    <d v="2016-03-31T00:00:00"/>
    <x v="699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5710-1458742756-224] [23/03/2016 at 14:19:00]"/>
  </r>
  <r>
    <s v="3635704-1458742751-126"/>
    <s v="Spot"/>
    <s v="3635704-1458742751-126"/>
    <n v="0"/>
    <d v="2016-03-31T00:00:00"/>
    <x v="70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5704-1458742751-126] [23/03/2016 at 14:19:00]"/>
  </r>
  <r>
    <s v="3635701-1458742749-76"/>
    <s v="Spot"/>
    <s v="3635701-1458742749-76"/>
    <n v="0"/>
    <d v="2016-03-31T00:00:00"/>
    <x v="701"/>
    <s v="76"/>
    <s v="BUY"/>
    <n v="0"/>
    <x v="0"/>
    <x v="7"/>
    <n v="0.01"/>
    <s v="Deal"/>
    <m/>
    <s v="Original Amount [USD 0.01], Merchant Amount [EUR 0], Customer Amount [USD 0.01], Status [APPROVED], Operation [REFUND], UUID [3635701-1458742749-76] [23/03/2016 at 14:19:00]"/>
  </r>
  <r>
    <s v="3635695-1458742746-76"/>
    <s v="Spot"/>
    <s v="3635695-1458742746-76"/>
    <n v="0"/>
    <d v="2016-03-31T00:00:00"/>
    <x v="702"/>
    <s v="76"/>
    <s v="SELL"/>
    <n v="0"/>
    <x v="0"/>
    <x v="7"/>
    <n v="0.01"/>
    <s v="Deal"/>
    <m/>
    <s v="Original Amount [USD 0.01], Merchant Amount [EUR 0], Customer Amount [USD 0.01], Status [APPROVED], Operation [STORED], UUID [3635695-1458742746-76] [23/03/2016 at 14:19:00]"/>
  </r>
  <r>
    <s v="3635749-1458742780-216"/>
    <s v="Spot"/>
    <s v="3635749-1458742780-216"/>
    <n v="0"/>
    <d v="2016-03-31T00:00:00"/>
    <x v="70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5749-1458742780-216] [23/03/2016 at 14:19:00]"/>
  </r>
  <r>
    <s v="3635680-1458742726-216"/>
    <s v="Spot"/>
    <s v="3635680-1458742726-216"/>
    <n v="0"/>
    <d v="2016-03-31T00:00:00"/>
    <x v="704"/>
    <s v="216"/>
    <s v="SELL"/>
    <n v="3.3979099678456595"/>
    <x v="0"/>
    <x v="0"/>
    <n v="42.27"/>
    <s v="Deal"/>
    <m/>
    <s v="Original Amount [EUR 12.44], Merchant Amount [EUR 12.44], Customer Amount [TRY 42.27], Status [WAITING], Operation [3D], UUID [3635680-1458742726-216] [23/03/2016 at 14:18:00]"/>
  </r>
  <r>
    <s v="3635668-1458742717-264"/>
    <s v="Spot"/>
    <s v="3635668-1458742717-264"/>
    <n v="0"/>
    <d v="2016-03-31T00:00:00"/>
    <x v="705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5668-1458742717-264] [23/03/2016 at 14:18:00]"/>
  </r>
  <r>
    <s v="3635662-1458742712-107"/>
    <s v="Spot"/>
    <s v="3635662-1458742712-107"/>
    <n v="0"/>
    <d v="2016-03-31T00:00:00"/>
    <x v="706"/>
    <s v="107"/>
    <s v="SELL"/>
    <n v="3.3972399999999996"/>
    <x v="0"/>
    <x v="0"/>
    <n v="849.31"/>
    <s v="Deal"/>
    <m/>
    <s v="Original Amount [EUR 250], Merchant Amount [EUR 250], Customer Amount [TRY 849.31], Status [WAITING], Operation [3D], UUID [3635662-1458742712-107] [23/03/2016 at 14:18:00]"/>
  </r>
  <r>
    <s v="3635689-1458742741-101"/>
    <s v="Spot"/>
    <s v="3635689-1458742741-101"/>
    <n v="0"/>
    <d v="2016-03-31T00:00:00"/>
    <x v="707"/>
    <s v="101"/>
    <s v="SELL"/>
    <n v="3.3975515463917523"/>
    <x v="0"/>
    <x v="0"/>
    <n v="52.73"/>
    <s v="Deal"/>
    <m/>
    <s v="Original Amount [EUR 15.52], Merchant Amount [EUR 15.52], Customer Amount [TRY 52.73], Status [APPROVED], Operation [3DAUTH], UUID [3635689-1458742741-101] [23/03/2016 at 14:19:00]"/>
  </r>
  <r>
    <s v="3635650-1458742709-261"/>
    <s v="Spot"/>
    <s v="3635650-1458742709-261"/>
    <n v="0"/>
    <d v="2016-03-31T00:00:00"/>
    <x v="708"/>
    <s v="261"/>
    <s v="SELL"/>
    <n v="9.9757009345794394"/>
    <x v="0"/>
    <x v="1"/>
    <n v="213.48"/>
    <s v="Deal"/>
    <m/>
    <s v="Original Amount [EUR 21.4], Merchant Amount [EUR 21.4], Customer Amount [NOK 213.48], Status [WAITING], Operation [3D], UUID [3635650-1458742709-261] [23/03/2016 at 14:18:00]"/>
  </r>
  <r>
    <s v="3635617-1458742687-126"/>
    <s v="Spot"/>
    <s v="3635617-1458742687-126"/>
    <n v="0"/>
    <d v="2016-03-31T00:00:00"/>
    <x v="709"/>
    <s v="126"/>
    <s v="SELL"/>
    <n v="9.9753658536585377"/>
    <x v="0"/>
    <x v="1"/>
    <n v="4089.9"/>
    <s v="Deal"/>
    <m/>
    <s v="Original Amount [EUR 410], Merchant Amount [EUR 410], Customer Amount [NOK 4089.9], Status [APPROVED], Operation [DIRECT], UUID [3635617-1458742687-126] [23/03/2016 at 14:18:00]"/>
  </r>
  <r>
    <s v="3635677-1458742725-56"/>
    <s v="Spot"/>
    <s v="3635677-1458742725-56"/>
    <n v="0"/>
    <d v="2016-03-31T00:00:00"/>
    <x v="710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5677-1458742725-56] [23/03/2016 at 14:18:00]"/>
  </r>
  <r>
    <s v="3635608-1458742673-111"/>
    <s v="Spot"/>
    <s v="3635608-1458742673-111"/>
    <n v="0"/>
    <d v="2016-03-31T00:00:00"/>
    <x v="711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5608-1458742673-111] [23/03/2016 at 14:17:00]"/>
  </r>
  <r>
    <s v="3635602-1458742671-216"/>
    <s v="Spot"/>
    <s v="3635602-1458742671-216"/>
    <n v="0"/>
    <d v="2016-03-31T00:00:00"/>
    <x v="712"/>
    <s v="216"/>
    <s v="SELL"/>
    <n v="3.395498392282958"/>
    <x v="0"/>
    <x v="0"/>
    <n v="105.6"/>
    <s v="Deal"/>
    <m/>
    <s v="Original Amount [EUR 31.1], Merchant Amount [EUR 31.1], Customer Amount [TRY 105.6], Status [APPROVED], Operation [3DAUTH], UUID [3635602-1458742671-216] [23/03/2016 at 14:17:00]"/>
  </r>
  <r>
    <s v="3635578-1458742637-119"/>
    <s v="Spot"/>
    <s v="3635578-1458742637-119"/>
    <n v="0"/>
    <d v="2016-03-31T00:00:00"/>
    <x v="713"/>
    <s v="119"/>
    <s v="SELL"/>
    <n v="9.9756"/>
    <x v="0"/>
    <x v="1"/>
    <n v="249.39"/>
    <s v="Deal"/>
    <m/>
    <s v="Original Amount [EUR 25], Merchant Amount [EUR 25], Customer Amount [NOK 249.39], Status [APPROVED], Operation [DIRECT], UUID [3635578-1458742637-119] [23/03/2016 at 14:17:00]"/>
  </r>
  <r>
    <s v="3635569-1458742634-224"/>
    <s v="Spot"/>
    <s v="3635569-1458742634-224"/>
    <n v="0"/>
    <d v="2016-03-31T00:00:00"/>
    <x v="714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5569-1458742634-224] [23/03/2016 at 14:17:00]"/>
  </r>
  <r>
    <s v="3635596-1458742664-154"/>
    <s v="Spot"/>
    <s v="3635596-1458742664-154"/>
    <n v="0"/>
    <d v="2016-03-31T00:00:00"/>
    <x v="715"/>
    <s v="154"/>
    <s v="SELL"/>
    <n v="9.9754485363550529"/>
    <x v="0"/>
    <x v="1"/>
    <n v="211.28"/>
    <s v="Deal"/>
    <m/>
    <s v="Original Amount [EUR 21.18], Merchant Amount [EUR 21.18], Customer Amount [NOK 211.28], Status [APPROVED], Operation [3DAUTH], UUID [3635596-1458742664-154] [23/03/2016 at 14:17:00]"/>
  </r>
  <r>
    <s v="3635557-1458742626-145"/>
    <s v="Spot"/>
    <s v="3635557-1458742626-145"/>
    <n v="0"/>
    <d v="2016-03-31T00:00:00"/>
    <x v="716"/>
    <s v="145"/>
    <s v="SELL"/>
    <n v="9.9753795327617407"/>
    <x v="0"/>
    <x v="1"/>
    <n v="1268.17"/>
    <s v="Deal"/>
    <m/>
    <s v="Original Amount [EUR 127.13], Merchant Amount [EUR 127.13], Customer Amount [NOK 1268.17], Status [APPROVED], Operation [DIRECT], UUID [3635557-1458742626-145] [23/03/2016 at 14:17:00]"/>
  </r>
  <r>
    <s v="3635548-1458742619-224"/>
    <s v="Spot"/>
    <s v="3635548-1458742619-224"/>
    <n v="0"/>
    <d v="2016-03-31T00:00:00"/>
    <x v="717"/>
    <s v="224"/>
    <s v="SELL"/>
    <n v="133.03778184034127"/>
    <x v="0"/>
    <x v="3"/>
    <n v="2183.15"/>
    <s v="Deal"/>
    <m/>
    <s v="Original Amount [EUR 16.41], Merchant Amount [EUR 16.41], Customer Amount [JPY 2183.15], Status [APPROVED], Operation [DIRECT], UUID [3635548-1458742619-224] [23/03/2016 at 14:16:00]"/>
  </r>
  <r>
    <s v="3635530-1458742603-199"/>
    <s v="Spot"/>
    <s v="3635530-1458742603-199"/>
    <n v="0"/>
    <d v="2016-03-31T00:00:00"/>
    <x v="718"/>
    <s v="199"/>
    <s v="SELL"/>
    <n v="9.9754234167893969"/>
    <x v="0"/>
    <x v="1"/>
    <n v="1083.73"/>
    <s v="Deal"/>
    <m/>
    <s v="Original Amount [EUR 108.64], Merchant Amount [EUR 108.64], Customer Amount [NOK 1083.73], Status [APPROVED], Operation [DIRECT], UUID [3635530-1458742603-199] [23/03/2016 at 14:16:00]"/>
  </r>
  <r>
    <s v="3635521-1458742587-119"/>
    <s v="Spot"/>
    <s v="3635521-1458742587-119"/>
    <n v="0"/>
    <d v="2016-03-31T00:00:00"/>
    <x v="719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521-1458742587-119] [23/03/2016 at 14:16:00]"/>
  </r>
  <r>
    <s v="3635497-1458742567-199"/>
    <s v="Spot"/>
    <s v="3635497-1458742567-199"/>
    <n v="0"/>
    <d v="2016-03-31T00:00:00"/>
    <x v="720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5497-1458742567-199] [23/03/2016 at 14:16:00]"/>
  </r>
  <r>
    <s v="3635494-1458742564-200"/>
    <s v="Spot"/>
    <s v="3635494-1458742564-200"/>
    <n v="0"/>
    <d v="2016-03-31T00:00:00"/>
    <x v="721"/>
    <s v="200"/>
    <s v="SELL"/>
    <n v="9.9753537197626656"/>
    <x v="0"/>
    <x v="1"/>
    <n v="218.56"/>
    <s v="Deal"/>
    <m/>
    <s v="Original Amount [EUR 21.91], Merchant Amount [EUR 21.91], Customer Amount [NOK 218.56], Status [APPROVED], Operation [STORED], UUID [3635494-1458742564-200] [23/03/2016 at 14:16:00]"/>
  </r>
  <r>
    <s v="3635488-1458742562-199"/>
    <s v="Spot"/>
    <s v="3635488-1458742562-199"/>
    <n v="0"/>
    <d v="2016-03-31T00:00:00"/>
    <x v="722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5488-1458742562-199] [23/03/2016 at 14:16:00]"/>
  </r>
  <r>
    <s v="3635485-1458742561-82"/>
    <s v="Spot"/>
    <s v="3635485-1458742561-82"/>
    <n v="0"/>
    <d v="2016-03-31T00:00:00"/>
    <x v="7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485-1458742561-82] [23/03/2016 at 14:16:00]"/>
  </r>
  <r>
    <s v="3635476-1458742547-126"/>
    <s v="Spot"/>
    <s v="3635476-1458742547-126"/>
    <n v="0"/>
    <d v="2016-03-31T00:00:00"/>
    <x v="724"/>
    <s v="126"/>
    <s v="SELL"/>
    <n v="9.9754146341463414"/>
    <x v="0"/>
    <x v="1"/>
    <n v="511.24"/>
    <s v="Deal"/>
    <m/>
    <s v="Original Amount [EUR 51.25], Merchant Amount [EUR 51.25], Customer Amount [NOK 511.24], Status [APPROVED], Operation [DIRECT], UUID [3635476-1458742547-126] [23/03/2016 at 14:15:00]"/>
  </r>
  <r>
    <s v="3635467-1458742538-199"/>
    <s v="Spot"/>
    <s v="3635467-1458742538-199"/>
    <n v="0"/>
    <d v="2016-03-31T00:00:00"/>
    <x v="725"/>
    <s v="199"/>
    <s v="SELL"/>
    <n v="9.9756995581737851"/>
    <x v="0"/>
    <x v="1"/>
    <n v="270.94"/>
    <s v="Deal"/>
    <m/>
    <s v="Original Amount [EUR 27.16], Merchant Amount [EUR 27.16], Customer Amount [NOK 270.94], Status [APPROVED], Operation [DIRECT], UUID [3635467-1458742538-199] [23/03/2016 at 14:15:00]"/>
  </r>
  <r>
    <s v="3635464-1458742538-82"/>
    <s v="Spot"/>
    <s v="3635464-1458742538-82"/>
    <n v="0"/>
    <d v="2016-03-31T00:00:00"/>
    <x v="72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5464-1458742538-82] [23/03/2016 at 14:15:00]"/>
  </r>
  <r>
    <s v="3635458-1458742535-261"/>
    <s v="Spot"/>
    <s v="3635458-1458742535-261"/>
    <n v="0"/>
    <d v="2016-03-31T00:00:00"/>
    <x v="727"/>
    <s v="261"/>
    <s v="SELL"/>
    <n v="9.975509441017012"/>
    <x v="0"/>
    <x v="1"/>
    <n v="533.59"/>
    <s v="Deal"/>
    <m/>
    <s v="Original Amount [EUR 53.49], Merchant Amount [EUR 53.49], Customer Amount [NOK 533.59], Status [APPROVED], Operation [DIRECT], UUID [3635458-1458742535-261] [23/03/2016 at 14:15:00]"/>
  </r>
  <r>
    <s v="3635542-1458742610-216"/>
    <s v="Spot"/>
    <s v="3635542-1458742610-216"/>
    <n v="0"/>
    <d v="2016-03-31T00:00:00"/>
    <x v="728"/>
    <s v="216"/>
    <s v="SELL"/>
    <n v="3.395498392282958"/>
    <x v="0"/>
    <x v="0"/>
    <n v="52.8"/>
    <s v="Deal"/>
    <m/>
    <s v="Original Amount [EUR 15.55], Merchant Amount [EUR 15.55], Customer Amount [TRY 52.8], Status [APPROVED], Operation [3DAUTH], UUID [3635542-1458742610-216] [23/03/2016 at 14:16:00]"/>
  </r>
  <r>
    <s v="3635506-1458742573-107"/>
    <s v="Spot"/>
    <s v="3635506-1458742573-107"/>
    <n v="0"/>
    <d v="2016-03-31T00:00:00"/>
    <x v="729"/>
    <s v="107"/>
    <s v="SELL"/>
    <n v="3.3953200000000003"/>
    <x v="0"/>
    <x v="0"/>
    <n v="848.83"/>
    <s v="Deal"/>
    <m/>
    <s v="Original Amount [EUR 250], Merchant Amount [EUR 250], Customer Amount [TRY 848.83], Status [APPROVED], Operation [3DAUTH], UUID [3635506-1458742573-107] [23/03/2016 at 14:16:00]"/>
  </r>
  <r>
    <s v="3635428-1458742518-82"/>
    <s v="Spot"/>
    <s v="3635428-1458742518-82"/>
    <n v="0"/>
    <d v="2016-03-31T00:00:00"/>
    <x v="730"/>
    <s v="82"/>
    <s v="BUY"/>
    <n v="1.1757857974388823"/>
    <x v="0"/>
    <x v="7"/>
    <n v="50.5"/>
    <s v="Deal"/>
    <m/>
    <s v="Original Amount [USD 50.5], Merchant Amount [EUR 42.95], Customer Amount [USD 50.5], Status [APPROVED], Operation [REFUND], UUID [3635428-1458742518-82] [23/03/2016 at 14:15:00]"/>
  </r>
  <r>
    <s v="3635422-1458742516-126"/>
    <s v="Spot"/>
    <s v="3635422-1458742516-126"/>
    <n v="0"/>
    <d v="2016-03-31T00:00:00"/>
    <x v="731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5422-1458742516-126] [23/03/2016 at 14:15:00]"/>
  </r>
  <r>
    <s v="3635416-1458742514-119"/>
    <s v="Spot"/>
    <s v="3635416-1458742514-119"/>
    <n v="0"/>
    <d v="2016-03-31T00:00:00"/>
    <x v="732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5416-1458742514-119] [23/03/2016 at 14:15:00]"/>
  </r>
  <r>
    <s v="3635410-1458742511-187"/>
    <s v="Spot"/>
    <s v="3635410-1458742511-187"/>
    <n v="0"/>
    <d v="2016-03-31T00:00:00"/>
    <x v="733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5410-1458742511-187] [23/03/2016 at 14:15:00]"/>
  </r>
  <r>
    <s v="3635449-1458742530-101"/>
    <s v="Spot"/>
    <s v="3635449-1458742530-101"/>
    <n v="0"/>
    <d v="2016-03-31T00:00:00"/>
    <x v="734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5449-1458742530-101] [23/03/2016 at 14:15:00]"/>
  </r>
  <r>
    <s v="3635452-1458742531-172"/>
    <s v="Spot"/>
    <s v="3635452-1458742531-172"/>
    <n v="0"/>
    <d v="2016-03-31T00:00:00"/>
    <x v="735"/>
    <s v="172"/>
    <s v="SELL"/>
    <n v="9.9756726870622927"/>
    <x v="0"/>
    <x v="1"/>
    <n v="270.64"/>
    <s v="Deal"/>
    <m/>
    <s v="Original Amount [EUR 27.13], Merchant Amount [EUR 27.13], Customer Amount [NOK 270.64], Status [APPROVED], Operation [3DAUTH], UUID [3635452-1458742531-172] [23/03/2016 at 14:15:00]"/>
  </r>
  <r>
    <s v="3635377-1458742489-56"/>
    <s v="Spot"/>
    <s v="3635377-1458742489-56"/>
    <n v="0"/>
    <d v="2016-03-31T00:00:00"/>
    <x v="736"/>
    <s v="56"/>
    <s v="SELL"/>
    <n v="3.3880597014925375"/>
    <x v="0"/>
    <x v="0"/>
    <n v="79.45"/>
    <s v="Deal"/>
    <m/>
    <s v="Original Amount [EUR 23.45], Merchant Amount [EUR 23.45], Customer Amount [TRY 79.45], Status [WAITING], Operation [3D], UUID [3635377-1458742489-56] [23/03/2016 at 14:14:00]"/>
  </r>
  <r>
    <s v="3635371-1458742481-82"/>
    <s v="Spot"/>
    <s v="3635371-1458742481-82"/>
    <n v="0"/>
    <d v="2016-03-31T00:00:00"/>
    <x v="737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71-1458742481-82] [23/03/2016 at 14:14:00]"/>
  </r>
  <r>
    <s v="3635386-1458742493-101"/>
    <s v="Spot"/>
    <s v="3635386-1458742493-101"/>
    <n v="0"/>
    <d v="2016-03-31T00:00:00"/>
    <x v="738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5386-1458742493-101] [23/03/2016 at 14:14:00]"/>
  </r>
  <r>
    <s v="3635344-1458742471-224"/>
    <s v="Spot"/>
    <s v="3635344-1458742471-224"/>
    <n v="0"/>
    <d v="2016-03-31T00:00:00"/>
    <x v="739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5344-1458742471-224] [23/03/2016 at 14:14:00]"/>
  </r>
  <r>
    <s v="3635332-1458742461-224"/>
    <s v="Spot"/>
    <s v="3635332-1458742461-224"/>
    <n v="0"/>
    <d v="2016-03-31T00:00:00"/>
    <x v="740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35332-1458742461-224] [23/03/2016 at 14:14:00]"/>
  </r>
  <r>
    <s v="3635317-1458742446-224"/>
    <s v="Spot"/>
    <s v="3635317-1458742446-224"/>
    <n v="0"/>
    <d v="2016-03-31T00:00:00"/>
    <x v="741"/>
    <s v="224"/>
    <s v="SELL"/>
    <n v="9.9550215650030793"/>
    <x v="0"/>
    <x v="1"/>
    <n v="161.57"/>
    <s v="Deal"/>
    <m/>
    <s v="Original Amount [EUR 16.23], Merchant Amount [EUR 16.23], Customer Amount [NOK 161.57], Status [APPROVED], Operation [DIRECT], UUID [3635317-1458742446-224] [23/03/2016 at 14:14:00]"/>
  </r>
  <r>
    <s v="3635308-1458742437-56"/>
    <s v="Spot"/>
    <s v="3635308-1458742437-56"/>
    <n v="0"/>
    <d v="2016-03-31T00:00:00"/>
    <x v="742"/>
    <s v="56"/>
    <s v="SELL"/>
    <n v="3.3881278538812789"/>
    <x v="0"/>
    <x v="0"/>
    <n v="81.62"/>
    <s v="Deal"/>
    <m/>
    <s v="Original Amount [EUR 24.09], Merchant Amount [EUR 24.09], Customer Amount [TRY 81.62], Status [WAITING], Operation [3D], UUID [3635308-1458742437-56] [23/03/2016 at 14:13:00]"/>
  </r>
  <r>
    <s v="3635302-1458742435-82"/>
    <s v="Spot"/>
    <s v="3635302-1458742435-82"/>
    <n v="0"/>
    <d v="2016-03-31T00:00:00"/>
    <x v="743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5302-1458742435-82] [23/03/2016 at 14:13:00]"/>
  </r>
  <r>
    <s v="3635356-1458742476-107"/>
    <s v="Spot"/>
    <s v="3635356-1458742476-107"/>
    <n v="0"/>
    <d v="2016-03-31T00:00:00"/>
    <x v="744"/>
    <s v="107"/>
    <s v="SELL"/>
    <n v="3.3883196721311477"/>
    <x v="0"/>
    <x v="0"/>
    <n v="66.14"/>
    <s v="Deal"/>
    <m/>
    <s v="Original Amount [EUR 19.52], Merchant Amount [EUR 19.52], Customer Amount [TRY 66.14], Status [APPROVED], Operation [3DAUTH], UUID [3635356-1458742476-107] [23/03/2016 at 14:14:00]"/>
  </r>
  <r>
    <s v="3635311-1458742444-216"/>
    <s v="Spot"/>
    <s v="3635311-1458742444-216"/>
    <n v="0"/>
    <d v="2016-03-31T00:00:00"/>
    <x v="745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5311-1458742444-216] [23/03/2016 at 14:14:00]"/>
  </r>
  <r>
    <s v="3635272-1458742396-82"/>
    <s v="Spot"/>
    <s v="3635272-1458742396-82"/>
    <n v="0"/>
    <d v="2016-03-31T00:00:00"/>
    <x v="746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5272-1458742396-82] [23/03/2016 at 14:13:00]"/>
  </r>
  <r>
    <s v="3635248-1458742379-119"/>
    <s v="Spot"/>
    <s v="3635248-1458742379-119"/>
    <n v="0"/>
    <d v="2016-03-31T00:00:00"/>
    <x v="747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5248-1458742379-119] [23/03/2016 at 14:12:00]"/>
  </r>
  <r>
    <s v="3635245-1458742371-199"/>
    <s v="Spot"/>
    <s v="3635245-1458742371-199"/>
    <n v="0"/>
    <d v="2016-03-31T00:00:00"/>
    <x v="748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5245-1458742371-199] [23/03/2016 at 14:12:00]"/>
  </r>
  <r>
    <s v="3635242-1458742369-224"/>
    <s v="Spot"/>
    <s v="3635242-1458742369-224"/>
    <n v="0"/>
    <d v="2016-03-31T00:00:00"/>
    <x v="749"/>
    <s v="224"/>
    <s v="SELL"/>
    <n v="9.9548913043478269"/>
    <x v="0"/>
    <x v="1"/>
    <n v="183.17"/>
    <s v="Deal"/>
    <m/>
    <s v="Original Amount [EUR 18.4], Merchant Amount [EUR 18.4], Customer Amount [NOK 183.17], Status [APPROVED], Operation [DIRECT], UUID [3635242-1458742369-224] [23/03/2016 at 14:12:00]"/>
  </r>
  <r>
    <s v="3635221-1458742360-82"/>
    <s v="Spot"/>
    <s v="3635221-1458742360-82"/>
    <n v="0"/>
    <d v="2016-03-31T00:00:00"/>
    <x v="750"/>
    <s v="82"/>
    <s v="SELL"/>
    <n v="1.1839863713798977"/>
    <x v="0"/>
    <x v="7"/>
    <n v="6.95"/>
    <s v="Deal"/>
    <m/>
    <s v="Original Amount [USD 6.95], Merchant Amount [EUR 5.87], Customer Amount [USD 6.95], Status [APPROVED], Operation [DIRECT], UUID [3635221-1458742360-82] [23/03/2016 at 14:12:00]"/>
  </r>
  <r>
    <s v="3635263-1458742390-107"/>
    <s v="Spot"/>
    <s v="3635263-1458742390-107"/>
    <n v="0"/>
    <d v="2016-03-31T00:00:00"/>
    <x v="751"/>
    <s v="107"/>
    <s v="SELL"/>
    <n v="3.3882820258192647"/>
    <x v="0"/>
    <x v="0"/>
    <n v="34.119999999999997"/>
    <s v="Deal"/>
    <m/>
    <s v="Original Amount [EUR 10.07], Merchant Amount [EUR 10.07], Customer Amount [TRY 34.12], Status [APPROVED], Operation [3DAUTH], UUID [3635263-1458742390-107] [23/03/2016 at 14:13:00]"/>
  </r>
  <r>
    <s v="3635218-1458742358-216"/>
    <s v="Spot"/>
    <s v="3635218-1458742358-216"/>
    <n v="0"/>
    <d v="2016-03-31T00:00:00"/>
    <x v="752"/>
    <s v="216"/>
    <s v="SELL"/>
    <n v="3.387959866220736"/>
    <x v="0"/>
    <x v="0"/>
    <n v="131.69"/>
    <s v="Deal"/>
    <m/>
    <s v="Original Amount [EUR 38.87], Merchant Amount [EUR 38.87], Customer Amount [TRY 131.69], Status [APPROVED], Operation [3DAUTH], UUID [3635218-1458742358-216] [23/03/2016 at 14:12:00]"/>
  </r>
  <r>
    <s v="3635176-1458742334-224"/>
    <s v="Spot"/>
    <s v="3635176-1458742334-224"/>
    <n v="0"/>
    <d v="2016-03-31T00:00:00"/>
    <x v="753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5176-1458742334-224] [23/03/2016 at 14:12:00]"/>
  </r>
  <r>
    <s v="3635224-1458742361-264"/>
    <s v="Spot"/>
    <s v="3635224-1458742361-264"/>
    <n v="0"/>
    <d v="2016-03-31T00:00:00"/>
    <x v="754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35224-1458742361-264] [23/03/2016 at 14:12:00]"/>
  </r>
  <r>
    <s v="3635338-1458742462-261"/>
    <s v="Spot"/>
    <s v="3635338-1458742462-261"/>
    <n v="0"/>
    <d v="2016-03-31T00:00:00"/>
    <x v="755"/>
    <s v="261"/>
    <s v="SELL"/>
    <n v="9.9551401869158873"/>
    <x v="0"/>
    <x v="1"/>
    <n v="106.52"/>
    <s v="Deal"/>
    <m/>
    <s v="Original Amount [EUR 10.7], Merchant Amount [EUR 10.7], Customer Amount [NOK 106.52], Status [APPROVED], Operation [3DAUTH], UUID [3635338-1458742462-261] [23/03/2016 at 14:14:00]"/>
  </r>
  <r>
    <s v="3635200-1458742346-216"/>
    <s v="Spot"/>
    <s v="3635200-1458742346-216"/>
    <n v="0"/>
    <d v="2016-03-31T00:00:00"/>
    <x v="756"/>
    <s v="216"/>
    <s v="SELL"/>
    <n v="3.3878462913315457"/>
    <x v="0"/>
    <x v="0"/>
    <n v="37.909999999999997"/>
    <s v="Deal"/>
    <m/>
    <s v="Original Amount [EUR 11.19], Merchant Amount [EUR 11.19], Customer Amount [TRY 37.91], Status [APPROVED], Operation [3DAUTH], UUID [3635200-1458742346-216] [23/03/2016 at 14:12:00]"/>
  </r>
  <r>
    <s v="3635158-1458742323-145"/>
    <s v="Spot"/>
    <s v="3635158-1458742323-145"/>
    <n v="0"/>
    <d v="2016-03-31T00:00:00"/>
    <x v="757"/>
    <s v="145"/>
    <s v="SELL"/>
    <n v="9.9546827794561938"/>
    <x v="0"/>
    <x v="1"/>
    <n v="263.60000000000002"/>
    <s v="Deal"/>
    <m/>
    <s v="Original Amount [EUR 26.48], Merchant Amount [EUR 26.48], Customer Amount [NOK 263.6], Status [APPROVED], Operation [DIRECT], UUID [3635158-1458742323-145] [23/03/2016 at 14:12:00]"/>
  </r>
  <r>
    <s v="3635155-1458742321-82"/>
    <s v="Spot"/>
    <s v="3635155-1458742321-82"/>
    <n v="0"/>
    <d v="2016-03-31T00:00:00"/>
    <x v="75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5155-1458742321-82] [23/03/2016 at 14:12:00]"/>
  </r>
  <r>
    <s v="3635152-1458742321-224"/>
    <s v="Spot"/>
    <s v="3635152-1458742321-224"/>
    <n v="0"/>
    <d v="2016-03-31T00:00:00"/>
    <x v="759"/>
    <s v="224"/>
    <s v="SELL"/>
    <n v="132.832430950586"/>
    <x v="0"/>
    <x v="3"/>
    <n v="19381.580000000002"/>
    <s v="Deal"/>
    <m/>
    <s v="Original Amount [EUR 145.91], Merchant Amount [EUR 145.91], Customer Amount [JPY 19381.58], Status [APPROVED], Operation [DIRECT], UUID [3635152-1458742321-224] [23/03/2016 at 14:12:00]"/>
  </r>
  <r>
    <s v="3635137-1458742315-199"/>
    <s v="Spot"/>
    <s v="3635137-1458742315-199"/>
    <n v="0"/>
    <d v="2016-03-31T00:00:00"/>
    <x v="760"/>
    <s v="199"/>
    <s v="SELL"/>
    <n v="9.954635108481261"/>
    <x v="0"/>
    <x v="1"/>
    <n v="605.64"/>
    <s v="Deal"/>
    <m/>
    <s v="Original Amount [EUR 60.84], Merchant Amount [EUR 60.84], Customer Amount [NOK 605.64], Status [APPROVED], Operation [DIRECT], UUID [3635137-1458742315-199] [23/03/2016 at 14:11:00]"/>
  </r>
  <r>
    <s v="3635128-1458742306-203"/>
    <s v="Spot"/>
    <s v="3635128-1458742306-203"/>
    <n v="0"/>
    <d v="2016-03-31T00:00:00"/>
    <x v="761"/>
    <s v="203"/>
    <s v="SELL"/>
    <n v="3.3878709677419354"/>
    <x v="0"/>
    <x v="0"/>
    <n v="262.56"/>
    <s v="Deal"/>
    <m/>
    <s v="Original Amount [EUR 77.5], Merchant Amount [EUR 77.5], Customer Amount [TRY 262.56], Status [APPROVED], Operation [3DAUTH], UUID [3635128-1458742306-203] [23/03/2016 at 14:11:00]"/>
  </r>
  <r>
    <s v="3635113-1458742300-101"/>
    <s v="Spot"/>
    <s v="3635113-1458742300-101"/>
    <n v="0"/>
    <d v="2016-03-31T00:00:00"/>
    <x v="762"/>
    <s v="101"/>
    <s v="SELL"/>
    <n v="3.3878245648157153"/>
    <x v="0"/>
    <x v="0"/>
    <n v="348.37"/>
    <s v="Deal"/>
    <m/>
    <s v="Original Amount [EUR 102.83], Merchant Amount [EUR 102.83], Customer Amount [TRY 348.37], Status [APPROVED], Operation [3DAUTH], UUID [3635113-1458742300-101] [23/03/2016 at 14:11:00]"/>
  </r>
  <r>
    <s v="3635104-1458742291-216"/>
    <s v="Spot"/>
    <s v="3635104-1458742291-216"/>
    <n v="0"/>
    <d v="2016-03-31T00:00:00"/>
    <x v="763"/>
    <s v="216"/>
    <s v="SELL"/>
    <n v="3.3879957127545555"/>
    <x v="0"/>
    <x v="0"/>
    <n v="94.83"/>
    <s v="Deal"/>
    <m/>
    <s v="Original Amount [EUR 27.99], Merchant Amount [EUR 27.99], Customer Amount [TRY 94.83], Status [APPROVED], Operation [3DAUTH], UUID [3635104-1458742291-216] [23/03/2016 at 14:11:00]"/>
  </r>
  <r>
    <s v="3635083-1458742280-203"/>
    <s v="Spot"/>
    <s v="3635083-1458742280-203"/>
    <n v="0"/>
    <d v="2016-03-31T00:00:00"/>
    <x v="764"/>
    <s v="203"/>
    <s v="SELL"/>
    <n v="3.388089330024814"/>
    <x v="0"/>
    <x v="0"/>
    <n v="68.27"/>
    <s v="Deal"/>
    <m/>
    <s v="Original Amount [EUR 20.15], Merchant Amount [EUR 20.15], Customer Amount [TRY 68.27], Status [APPROVED], Operation [3DAUTH], UUID [3635083-1458742280-203] [23/03/2016 at 14:11:00]"/>
  </r>
  <r>
    <s v="3635038-1458742241-126"/>
    <s v="Spot"/>
    <s v="3635038-1458742241-126"/>
    <n v="0"/>
    <d v="2016-03-31T00:00:00"/>
    <x v="765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5038-1458742241-126] [23/03/2016 at 14:10:00]"/>
  </r>
  <r>
    <s v="3635020-1458742234-119"/>
    <s v="Spot"/>
    <s v="3635020-1458742234-119"/>
    <n v="0"/>
    <d v="2016-03-31T00:00:00"/>
    <x v="766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35020-1458742234-119] [23/03/2016 at 14:10:00]"/>
  </r>
  <r>
    <s v="3635011-1458742226-82"/>
    <s v="Spot"/>
    <s v="3635011-1458742226-82"/>
    <n v="0"/>
    <d v="2016-03-31T00:00:00"/>
    <x v="767"/>
    <s v="82"/>
    <s v="SELL"/>
    <n v="1.1831683168316831"/>
    <x v="0"/>
    <x v="7"/>
    <n v="11.95"/>
    <s v="Deal"/>
    <m/>
    <s v="Original Amount [USD 11.95], Merchant Amount [EUR 10.1], Customer Amount [USD 11.95], Status [APPROVED], Operation [DIRECT], UUID [3635011-1458742226-82] [23/03/2016 at 14:10:00]"/>
  </r>
  <r>
    <s v="3635008-1458742223-261"/>
    <s v="Spot"/>
    <s v="3635008-1458742223-261"/>
    <n v="0"/>
    <d v="2016-03-31T00:00:00"/>
    <x v="768"/>
    <s v="261"/>
    <s v="SELL"/>
    <n v="9.9545709478407183"/>
    <x v="0"/>
    <x v="1"/>
    <n v="532.47"/>
    <s v="Deal"/>
    <m/>
    <s v="Original Amount [EUR 53.49], Merchant Amount [EUR 53.49], Customer Amount [NOK 532.47], Status [APPROVED], Operation [DIRECT], UUID [3635008-1458742223-261] [23/03/2016 at 14:10:00]"/>
  </r>
  <r>
    <s v="3634999-1458742219-82"/>
    <s v="Spot"/>
    <s v="3634999-1458742219-82"/>
    <n v="0"/>
    <d v="2016-03-31T00:00:00"/>
    <x v="769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99-1458742219-82] [23/03/2016 at 14:10:00]"/>
  </r>
  <r>
    <s v="3635032-1458742237-101"/>
    <s v="Spot"/>
    <s v="3635032-1458742237-101"/>
    <n v="0"/>
    <d v="2016-03-31T00:00:00"/>
    <x v="770"/>
    <s v="101"/>
    <s v="SELL"/>
    <n v="3.3878589832212658"/>
    <x v="0"/>
    <x v="0"/>
    <n v="539.11"/>
    <s v="Deal"/>
    <m/>
    <s v="Original Amount [EUR 159.13], Merchant Amount [EUR 159.13], Customer Amount [TRY 539.11], Status [APPROVED], Operation [3DAUTH], UUID [3635032-1458742237-101] [23/03/2016 at 14:10:00]"/>
  </r>
  <r>
    <s v="3634981-1458742204-224"/>
    <s v="Spot"/>
    <s v="3634981-1458742204-224"/>
    <n v="0"/>
    <d v="2016-03-31T00:00:00"/>
    <x v="77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34981-1458742204-224] [23/03/2016 at 14:10:00]"/>
  </r>
  <r>
    <s v="3635005-1458742223-216"/>
    <s v="Spot"/>
    <s v="3635005-1458742223-216"/>
    <n v="0"/>
    <d v="2016-03-31T00:00:00"/>
    <x v="772"/>
    <s v="216"/>
    <s v="SELL"/>
    <n v="3.3882636655948555"/>
    <x v="0"/>
    <x v="0"/>
    <n v="42.15"/>
    <s v="Deal"/>
    <m/>
    <s v="Original Amount [EUR 12.44], Merchant Amount [EUR 12.44], Customer Amount [TRY 42.15], Status [APPROVED], Operation [3DAUTH], UUID [3635005-1458742223-216] [23/03/2016 at 14:10:00]"/>
  </r>
  <r>
    <s v="3635014-1458742226-56"/>
    <s v="Spot"/>
    <s v="3635014-1458742226-56"/>
    <n v="0"/>
    <d v="2016-03-31T00:00:00"/>
    <x v="773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5014-1458742226-56] [23/03/2016 at 14:10:00]"/>
  </r>
  <r>
    <s v="3634942-1458742180-82"/>
    <s v="Spot"/>
    <s v="3634942-1458742180-82"/>
    <n v="0"/>
    <d v="2016-03-31T00:00:00"/>
    <x v="77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42-1458742180-82] [23/03/2016 at 14:09:00]"/>
  </r>
  <r>
    <s v="3634984-1458742206-126"/>
    <s v="Spot"/>
    <s v="3634984-1458742206-126"/>
    <n v="0"/>
    <d v="2016-03-31T00:00:00"/>
    <x v="775"/>
    <s v="126"/>
    <s v="SELL"/>
    <n v="9.9547967479674799"/>
    <x v="0"/>
    <x v="1"/>
    <n v="306.11"/>
    <s v="Deal"/>
    <m/>
    <s v="Original Amount [EUR 30.75], Merchant Amount [EUR 30.75], Customer Amount [NOK 306.11], Status [APPROVED], Operation [3DAUTH], UUID [3634984-1458742206-126] [23/03/2016 at 14:10:00]"/>
  </r>
  <r>
    <s v="3634966-1458742196-216"/>
    <s v="Spot"/>
    <s v="3634966-1458742196-216"/>
    <n v="0"/>
    <d v="2016-03-31T00:00:00"/>
    <x v="776"/>
    <s v="216"/>
    <s v="SELL"/>
    <n v="3.3879396984924623"/>
    <x v="0"/>
    <x v="0"/>
    <n v="168.55"/>
    <s v="Deal"/>
    <m/>
    <s v="Original Amount [EUR 49.75], Merchant Amount [EUR 49.75], Customer Amount [TRY 168.55], Status [APPROVED], Operation [3DAUTH], UUID [3634966-1458742196-216] [23/03/2016 at 14:09:00]"/>
  </r>
  <r>
    <s v="3634927-1458742167-199"/>
    <s v="Spot"/>
    <s v="3634927-1458742167-199"/>
    <n v="0"/>
    <d v="2016-03-31T00:00:00"/>
    <x v="777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4927-1458742167-199] [23/03/2016 at 14:09:00]"/>
  </r>
  <r>
    <s v="3634912-1458742162-82"/>
    <s v="Spot"/>
    <s v="3634912-1458742162-82"/>
    <n v="0"/>
    <d v="2016-03-31T00:00:00"/>
    <x v="778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912-1458742162-82] [23/03/2016 at 14:09:00]"/>
  </r>
  <r>
    <s v="3634969-1458742199-56"/>
    <s v="Spot"/>
    <s v="3634969-1458742199-56"/>
    <n v="0"/>
    <d v="2016-03-31T00:00:00"/>
    <x v="779"/>
    <s v="56"/>
    <s v="SELL"/>
    <n v="3.3920079671355663"/>
    <x v="0"/>
    <x v="0"/>
    <n v="272.48"/>
    <s v="Deal"/>
    <m/>
    <s v="Original Amount [EUR 80.33], Merchant Amount [EUR 80.33], Customer Amount [TRY 272.48], Status [APPROVED], Operation [3DAUTH], UUID [3634969-1458742199-56] [23/03/2016 at 14:09:00]"/>
  </r>
  <r>
    <s v="3634915-1458742163-101"/>
    <s v="Spot"/>
    <s v="3634915-1458742163-101"/>
    <n v="0"/>
    <d v="2016-03-31T00:00:00"/>
    <x v="780"/>
    <s v="101"/>
    <s v="SELL"/>
    <n v="3.3922178988326852"/>
    <x v="0"/>
    <x v="0"/>
    <n v="43.59"/>
    <s v="Deal"/>
    <m/>
    <s v="Original Amount [EUR 12.85], Merchant Amount [EUR 12.85], Customer Amount [TRY 43.59], Status [APPROVED], Operation [3DAUTH], UUID [3634915-1458742163-101] [23/03/2016 at 14:09:00]"/>
  </r>
  <r>
    <s v="3634933-1458742173-216"/>
    <s v="Spot"/>
    <s v="3634933-1458742173-216"/>
    <n v="0"/>
    <d v="2016-03-31T00:00:00"/>
    <x v="781"/>
    <s v="216"/>
    <s v="SELL"/>
    <n v="3.391947517365578"/>
    <x v="0"/>
    <x v="0"/>
    <n v="263.69"/>
    <s v="Deal"/>
    <m/>
    <s v="Original Amount [EUR 77.74], Merchant Amount [EUR 77.74], Customer Amount [TRY 263.69], Status [APPROVED], Operation [3DAUTH], UUID [3634933-1458742173-216] [23/03/2016 at 14:09:00]"/>
  </r>
  <r>
    <s v="3634945-1458742181-101"/>
    <s v="Spot"/>
    <s v="3634945-1458742181-101"/>
    <n v="0"/>
    <d v="2016-03-31T00:00:00"/>
    <x v="782"/>
    <s v="101"/>
    <s v="SELL"/>
    <n v="3.3922789539227898"/>
    <x v="0"/>
    <x v="0"/>
    <n v="27.24"/>
    <s v="Deal"/>
    <m/>
    <s v="Original Amount [EUR 8.03], Merchant Amount [EUR 8.03], Customer Amount [TRY 27.24], Status [APPROVED], Operation [3DAUTH], UUID [3634945-1458742181-101] [23/03/2016 at 14:09:00]"/>
  </r>
  <r>
    <s v="3634879-1458742130-119"/>
    <s v="Spot"/>
    <s v="3634879-1458742130-119"/>
    <n v="0"/>
    <d v="2016-03-31T00:00:00"/>
    <x v="78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4879-1458742130-119] [23/03/2016 at 14:08:00]"/>
  </r>
  <r>
    <s v="3634876-1458742124-200"/>
    <s v="Spot"/>
    <s v="3634876-1458742124-200"/>
    <n v="0"/>
    <d v="2016-03-31T00:00:00"/>
    <x v="784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34876-1458742124-200] [23/03/2016 at 14:08:00]"/>
  </r>
  <r>
    <s v="3634873-1458742107-261"/>
    <s v="Spot"/>
    <s v="3634873-1458742107-261"/>
    <n v="0"/>
    <d v="2016-03-31T00:00:00"/>
    <x v="785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73-1458742107-261] [23/03/2016 at 14:08:00]"/>
  </r>
  <r>
    <s v="3634870-1458742105-82"/>
    <s v="Spot"/>
    <s v="3634870-1458742105-82"/>
    <n v="0"/>
    <d v="2016-03-31T00:00:00"/>
    <x v="78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70-1458742105-82] [23/03/2016 at 14:08:00]"/>
  </r>
  <r>
    <s v="3634867-1458742102-261"/>
    <s v="Spot"/>
    <s v="3634867-1458742102-261"/>
    <n v="0"/>
    <d v="2016-03-31T00:00:00"/>
    <x v="78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34867-1458742102-261] [23/03/2016 at 14:08:00]"/>
  </r>
  <r>
    <s v="3634861-1458742099-82"/>
    <s v="Spot"/>
    <s v="3634861-1458742099-82"/>
    <n v="0"/>
    <d v="2016-03-31T00:00:00"/>
    <x v="788"/>
    <s v="82"/>
    <s v="BUY"/>
    <n v="0"/>
    <x v="0"/>
    <x v="7"/>
    <n v="0.01"/>
    <s v="Deal"/>
    <m/>
    <s v="Original Amount [USD 0.01], Merchant Amount [EUR 0], Customer Amount [USD 0.01], Status [APPROVED], Operation [REFUND], UUID [3634861-1458742099-82] [23/03/2016 at 14:08:00]"/>
  </r>
  <r>
    <s v="3634858-1458742098-199"/>
    <s v="Spot"/>
    <s v="3634858-1458742098-199"/>
    <n v="0"/>
    <d v="2016-03-31T00:00:00"/>
    <x v="78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4858-1458742098-199] [23/03/2016 at 14:08:00]"/>
  </r>
  <r>
    <s v="3634909-1458742160-203"/>
    <s v="Spot"/>
    <s v="3634909-1458742160-203"/>
    <n v="0"/>
    <d v="2016-03-31T00:00:00"/>
    <x v="79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909-1458742160-203] [23/03/2016 at 14:09:00]"/>
  </r>
  <r>
    <s v="3634849-1458742094-82"/>
    <s v="Spot"/>
    <s v="3634849-1458742094-82"/>
    <n v="0"/>
    <d v="2016-03-31T00:00:00"/>
    <x v="791"/>
    <s v="82"/>
    <s v="SELL"/>
    <n v="0"/>
    <x v="0"/>
    <x v="7"/>
    <n v="0.01"/>
    <s v="Deal"/>
    <m/>
    <s v="Original Amount [USD 0.01], Merchant Amount [EUR 0], Customer Amount [USD 0.01], Status [APPROVED], Operation [STORED], UUID [3634849-1458742094-82] [23/03/2016 at 14:08:00]"/>
  </r>
  <r>
    <s v="3634846-1458742094-261"/>
    <s v="Spot"/>
    <s v="3634846-1458742094-261"/>
    <n v="0"/>
    <d v="2016-03-31T00:00:00"/>
    <x v="792"/>
    <s v="261"/>
    <s v="SELL"/>
    <n v="9.954749439042633"/>
    <x v="0"/>
    <x v="1"/>
    <n v="266.19"/>
    <s v="Deal"/>
    <m/>
    <s v="Original Amount [EUR 26.74], Merchant Amount [EUR 26.74], Customer Amount [NOK 266.19], Status [APPROVED], Operation [DIRECT], UUID [3634846-1458742094-261] [23/03/2016 at 14:08:00]"/>
  </r>
  <r>
    <s v="3634843-1458742088-82"/>
    <s v="Spot"/>
    <s v="3634843-1458742088-82"/>
    <n v="0"/>
    <d v="2016-03-31T00:00:00"/>
    <x v="79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43-1458742088-82] [23/03/2016 at 14:08:00]"/>
  </r>
  <r>
    <s v="3634834-1458742078-82"/>
    <s v="Spot"/>
    <s v="3634834-1458742078-82"/>
    <n v="0"/>
    <d v="2016-03-31T00:00:00"/>
    <x v="794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834-1458742078-82] [23/03/2016 at 14:07:00]"/>
  </r>
  <r>
    <s v="3634816-1458742064-261"/>
    <s v="Spot"/>
    <s v="3634816-1458742064-261"/>
    <n v="0"/>
    <d v="2016-03-31T00:00:00"/>
    <x v="795"/>
    <s v="261"/>
    <s v="SELL"/>
    <n v="9.9546623042767006"/>
    <x v="0"/>
    <x v="1"/>
    <n v="851.92"/>
    <s v="Deal"/>
    <m/>
    <s v="Original Amount [EUR 85.58], Merchant Amount [EUR 85.58], Customer Amount [NOK 851.92], Status [WAITING], Operation [3D], UUID [3634816-1458742064-261] [23/03/2016 at 14:07:00]"/>
  </r>
  <r>
    <s v="3634825-1458742074-107"/>
    <s v="Spot"/>
    <s v="3634825-1458742074-107"/>
    <n v="0"/>
    <d v="2016-03-31T00:00:00"/>
    <x v="796"/>
    <s v="107"/>
    <s v="SELL"/>
    <n v="3.3920271142672691"/>
    <x v="0"/>
    <x v="0"/>
    <n v="210.17"/>
    <s v="Deal"/>
    <m/>
    <s v="Original Amount [EUR 61.96], Merchant Amount [EUR 61.96], Customer Amount [TRY 210.17], Status [APPROVED], Operation [3DAUTH], UUID [3634825-1458742074-107] [23/03/2016 at 14:07:00]"/>
  </r>
  <r>
    <s v="3634792-1458742050-82"/>
    <s v="Spot"/>
    <s v="3634792-1458742050-82"/>
    <n v="0"/>
    <d v="2016-03-31T00:00:00"/>
    <x v="7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92-1458742050-82] [23/03/2016 at 14:07:00]"/>
  </r>
  <r>
    <s v="3634786-1458742047-224"/>
    <s v="Spot"/>
    <s v="3634786-1458742047-224"/>
    <n v="0"/>
    <d v="2016-03-31T00:00:00"/>
    <x v="798"/>
    <s v="224"/>
    <s v="SELL"/>
    <n v="133.03783931998905"/>
    <x v="0"/>
    <x v="3"/>
    <n v="4851.8900000000003"/>
    <s v="Deal"/>
    <m/>
    <s v="Original Amount [EUR 36.47], Merchant Amount [EUR 36.47], Customer Amount [JPY 4851.89], Status [APPROVED], Operation [DIRECT], UUID [3634786-1458742047-224] [23/03/2016 at 14:07:00]"/>
  </r>
  <r>
    <s v="3634780-1458742044-261"/>
    <s v="Spot"/>
    <s v="3634780-1458742044-261"/>
    <n v="0"/>
    <d v="2016-03-31T00:00:00"/>
    <x v="799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4780-1458742044-261] [23/03/2016 at 14:07:00]"/>
  </r>
  <r>
    <s v="3634837-1458742085-111"/>
    <s v="Spot"/>
    <s v="3634837-1458742085-111"/>
    <n v="0"/>
    <d v="2016-03-31T00:00:00"/>
    <x v="800"/>
    <s v="111"/>
    <s v="SELL"/>
    <n v="1.5435000000000001"/>
    <x v="0"/>
    <x v="2"/>
    <n v="30.87"/>
    <s v="Deal"/>
    <m/>
    <s v="Original Amount [EUR 20], Merchant Amount [EUR 20], Customer Amount [CAD 30.87], Status [APPROVED], Operation [3DAUTH], UUID [3634837-1458742085-111] [23/03/2016 at 14:08:00]"/>
  </r>
  <r>
    <s v="3634813-1458742062-200"/>
    <s v="Spot"/>
    <s v="3634813-1458742062-200"/>
    <n v="0"/>
    <d v="2016-03-31T00:00:00"/>
    <x v="801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3DAUTH], UUID [3634813-1458742062-200] [23/03/2016 at 14:07:00]"/>
  </r>
  <r>
    <s v="3634759-1458742019-199"/>
    <s v="Spot"/>
    <s v="3634759-1458742019-199"/>
    <n v="0"/>
    <d v="2016-03-31T00:00:00"/>
    <x v="802"/>
    <s v="199"/>
    <s v="SELL"/>
    <n v="9.9553903345724919"/>
    <x v="0"/>
    <x v="1"/>
    <n v="107.12"/>
    <s v="Deal"/>
    <m/>
    <s v="Original Amount [EUR 10.76], Merchant Amount [EUR 10.76], Customer Amount [NOK 107.12], Status [APPROVED], Operation [DIRECT], UUID [3634759-1458742019-199] [23/03/2016 at 14:06:00]"/>
  </r>
  <r>
    <s v="3634756-1458742017-82"/>
    <s v="Spot"/>
    <s v="3634756-1458742017-82"/>
    <n v="0"/>
    <d v="2016-03-31T00:00:00"/>
    <x v="803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56-1458742017-82] [23/03/2016 at 14:06:00]"/>
  </r>
  <r>
    <s v="3634735-1458742011-224"/>
    <s v="Spot"/>
    <s v="3634735-1458742011-224"/>
    <n v="0"/>
    <d v="2016-03-31T00:00:00"/>
    <x v="804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4735-1458742011-224] [23/03/2016 at 14:06:00]"/>
  </r>
  <r>
    <s v="3634732-1458742007-199"/>
    <s v="Spot"/>
    <s v="3634732-1458742007-199"/>
    <n v="0"/>
    <d v="2016-03-31T00:00:00"/>
    <x v="805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4732-1458742007-199] [23/03/2016 at 14:06:00]"/>
  </r>
  <r>
    <s v="3634729-1458742006-82"/>
    <s v="Spot"/>
    <s v="3634729-1458742006-82"/>
    <n v="0"/>
    <d v="2016-03-31T00:00:00"/>
    <x v="806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29-1458742006-82] [23/03/2016 at 14:06:00]"/>
  </r>
  <r>
    <s v="3634723-1458742003-82"/>
    <s v="Spot"/>
    <s v="3634723-1458742003-82"/>
    <n v="0"/>
    <d v="2016-03-31T00:00:00"/>
    <x v="807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34723-1458742003-82] [23/03/2016 at 14:06:00]"/>
  </r>
  <r>
    <s v="3634714-1458741995-82"/>
    <s v="Spot"/>
    <s v="3634714-1458741995-82"/>
    <n v="0"/>
    <d v="2016-03-31T00:00:00"/>
    <x v="80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714-1458741995-82] [23/03/2016 at 14:06:00]"/>
  </r>
  <r>
    <s v="3634738-1458742012-56"/>
    <s v="Spot"/>
    <s v="3634738-1458742012-56"/>
    <n v="0"/>
    <d v="2016-03-31T00:00:00"/>
    <x v="809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4738-1458742012-56] [23/03/2016 at 14:06:00]"/>
  </r>
  <r>
    <s v="3634684-1458741975-82"/>
    <s v="Spot"/>
    <s v="3634684-1458741975-82"/>
    <n v="0"/>
    <d v="2016-03-31T00:00:00"/>
    <x v="8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4684-1458741975-82] [23/03/2016 at 14:06:00]"/>
  </r>
  <r>
    <s v="3634681-1458741968-187"/>
    <s v="Spot"/>
    <s v="3634681-1458741968-187"/>
    <n v="0"/>
    <d v="2016-03-31T00:00:00"/>
    <x v="811"/>
    <s v="187"/>
    <s v="SELL"/>
    <n v="9.9546242319205938"/>
    <x v="0"/>
    <x v="1"/>
    <n v="631.82000000000005"/>
    <s v="Deal"/>
    <m/>
    <s v="Original Amount [EUR 63.47], Merchant Amount [EUR 63.47], Customer Amount [NOK 631.82], Status [APPROVED], Operation [DIRECT], UUID [3634681-1458741968-187] [23/03/2016 at 14:06:00]"/>
  </r>
  <r>
    <s v="3634774-1458742034-107"/>
    <s v="Spot"/>
    <s v="3634774-1458742034-107"/>
    <n v="0"/>
    <d v="2016-03-31T00:00:00"/>
    <x v="812"/>
    <s v="107"/>
    <s v="SELL"/>
    <n v="3.387860525182953"/>
    <x v="0"/>
    <x v="0"/>
    <n v="78.7"/>
    <s v="Deal"/>
    <m/>
    <s v="Original Amount [EUR 23.23], Merchant Amount [EUR 23.23], Customer Amount [TRY 78.7], Status [APPROVED], Operation [3DAUTH], UUID [3634774-1458742034-107] [23/03/2016 at 14:07:00]"/>
  </r>
  <r>
    <s v="3634672-1458741960-82"/>
    <s v="Spot"/>
    <s v="3634672-1458741960-82"/>
    <n v="0"/>
    <d v="2016-03-31T00:00:00"/>
    <x v="813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672-1458741960-82] [23/03/2016 at 14:06:00]"/>
  </r>
  <r>
    <s v="3634687-1458741975-107"/>
    <s v="Spot"/>
    <s v="3634687-1458741975-107"/>
    <n v="0"/>
    <d v="2016-03-31T00:00:00"/>
    <x v="814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4687-1458741975-107] [23/03/2016 at 14:06:00]"/>
  </r>
  <r>
    <s v="3634639-1458741935-199"/>
    <s v="Spot"/>
    <s v="3634639-1458741935-199"/>
    <n v="0"/>
    <d v="2016-03-31T00:00:00"/>
    <x v="815"/>
    <s v="199"/>
    <s v="SELL"/>
    <n v="9.9665427509293671"/>
    <x v="0"/>
    <x v="1"/>
    <n v="107.24"/>
    <s v="Deal"/>
    <m/>
    <s v="Original Amount [EUR 10.76], Merchant Amount [EUR 10.76], Customer Amount [NOK 107.24], Status [APPROVED], Operation [DIRECT], UUID [3634639-1458741935-199] [23/03/2016 at 14:05:00]"/>
  </r>
  <r>
    <s v="3634624-1458741923-119"/>
    <s v="Spot"/>
    <s v="3634624-1458741923-119"/>
    <n v="0"/>
    <d v="2016-03-31T00:00:00"/>
    <x v="816"/>
    <s v="119"/>
    <s v="SELL"/>
    <n v="9.9663000000000004"/>
    <x v="0"/>
    <x v="1"/>
    <n v="1993.26"/>
    <s v="Deal"/>
    <m/>
    <s v="Original Amount [EUR 200], Merchant Amount [EUR 200], Customer Amount [NOK 1993.26], Status [APPROVED], Operation [DIRECT], UUID [3634624-1458741923-119] [23/03/2016 at 14:05:00]"/>
  </r>
  <r>
    <s v="3634690-1458741977-216"/>
    <s v="Spot"/>
    <s v="3634690-1458741977-216"/>
    <n v="0"/>
    <d v="2016-03-31T00:00:00"/>
    <x v="817"/>
    <s v="216"/>
    <s v="SELL"/>
    <n v="3.3878676470588234"/>
    <x v="0"/>
    <x v="0"/>
    <n v="36.86"/>
    <s v="Deal"/>
    <m/>
    <s v="Original Amount [EUR 10.88], Merchant Amount [EUR 10.88], Customer Amount [TRY 36.86], Status [APPROVED], Operation [3DAUTH], UUID [3634690-1458741977-216] [23/03/2016 at 14:06:00]"/>
  </r>
  <r>
    <s v="3634606-1458741897-126"/>
    <s v="Spot"/>
    <s v="3634606-1458741897-126"/>
    <n v="0"/>
    <d v="2016-03-31T00:00:00"/>
    <x v="81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34606-1458741897-126] [23/03/2016 at 14:04:00]"/>
  </r>
  <r>
    <s v="3634603-1458741889-145"/>
    <s v="Spot"/>
    <s v="3634603-1458741889-145"/>
    <n v="0"/>
    <d v="2016-03-31T00:00:00"/>
    <x v="819"/>
    <s v="145"/>
    <s v="SELL"/>
    <n v="9.9664778092540143"/>
    <x v="0"/>
    <x v="1"/>
    <n v="211.09"/>
    <s v="Deal"/>
    <m/>
    <s v="Original Amount [EUR 21.18], Merchant Amount [EUR 21.18], Customer Amount [NOK 211.09], Status [APPROVED], Operation [DIRECT], UUID [3634603-1458741889-145] [23/03/2016 at 14:04:00]"/>
  </r>
  <r>
    <s v="3634582-1458741868-200"/>
    <s v="Spot"/>
    <s v="3634582-1458741868-200"/>
    <n v="0"/>
    <d v="2016-03-31T00:00:00"/>
    <x v="820"/>
    <s v="200"/>
    <s v="SELL"/>
    <n v="9.9664233576642332"/>
    <x v="0"/>
    <x v="1"/>
    <n v="273.08"/>
    <s v="Deal"/>
    <m/>
    <s v="Original Amount [EUR 27.4], Merchant Amount [EUR 27.4], Customer Amount [NOK 273.08], Status [APPROVED], Operation [STORED], UUID [3634582-1458741868-200] [23/03/2016 at 14:04:00]"/>
  </r>
  <r>
    <s v="3634618-1458741913-126"/>
    <s v="Spot"/>
    <s v="3634618-1458741913-126"/>
    <n v="0"/>
    <d v="2016-03-31T00:00:00"/>
    <x v="821"/>
    <s v="126"/>
    <s v="SELL"/>
    <n v="9.9664390243902439"/>
    <x v="0"/>
    <x v="1"/>
    <n v="510.78"/>
    <s v="Deal"/>
    <m/>
    <s v="Original Amount [EUR 51.25], Merchant Amount [EUR 51.25], Customer Amount [NOK 510.78], Status [APPROVED], Operation [3DAUTH], UUID [3634618-1458741913-126] [23/03/2016 at 14:05:00]"/>
  </r>
  <r>
    <s v="3634576-1458741864-56"/>
    <s v="Spot"/>
    <s v="3634576-1458741864-56"/>
    <n v="0"/>
    <d v="2016-03-31T00:00:00"/>
    <x v="822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4576-1458741864-56] [23/03/2016 at 14:04:00]"/>
  </r>
  <r>
    <s v="3634537-1458741835-199"/>
    <s v="Spot"/>
    <s v="3634537-1458741835-199"/>
    <n v="0"/>
    <d v="2016-03-31T00:00:00"/>
    <x v="823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4537-1458741835-199] [23/03/2016 at 14:03:00]"/>
  </r>
  <r>
    <s v="3634534-1458741834-82"/>
    <s v="Spot"/>
    <s v="3634534-1458741834-82"/>
    <n v="0"/>
    <d v="2016-03-31T00:00:00"/>
    <x v="824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4534-1458741834-82] [23/03/2016 at 14:03:00]"/>
  </r>
  <r>
    <s v="3634531-1458741828-199"/>
    <s v="Spot"/>
    <s v="3634531-1458741828-199"/>
    <n v="0"/>
    <d v="2016-03-31T00:00:00"/>
    <x v="82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31-1458741828-199] [23/03/2016 at 14:03:00]"/>
  </r>
  <r>
    <s v="3634573-1458741863-101"/>
    <s v="Spot"/>
    <s v="3634573-1458741863-101"/>
    <n v="0"/>
    <d v="2016-03-31T00:00:00"/>
    <x v="826"/>
    <s v="101"/>
    <s v="SELL"/>
    <n v="3.3883268482490272"/>
    <x v="0"/>
    <x v="0"/>
    <n v="43.54"/>
    <s v="Deal"/>
    <m/>
    <s v="Original Amount [EUR 12.85], Merchant Amount [EUR 12.85], Customer Amount [TRY 43.54], Status [APPROVED], Operation [3DAUTH], UUID [3634573-1458741863-101] [23/03/2016 at 14:04:00]"/>
  </r>
  <r>
    <s v="3634525-1458741824-119"/>
    <s v="Spot"/>
    <s v="3634525-1458741824-119"/>
    <n v="0"/>
    <d v="2016-03-31T00:00:00"/>
    <x v="82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4525-1458741824-119] [23/03/2016 at 14:03:00]"/>
  </r>
  <r>
    <s v="3634546-1458741842-216"/>
    <s v="Spot"/>
    <s v="3634546-1458741842-216"/>
    <n v="0"/>
    <d v="2016-03-31T00:00:00"/>
    <x v="828"/>
    <s v="216"/>
    <s v="SELL"/>
    <n v="3.3878168747635264"/>
    <x v="0"/>
    <x v="0"/>
    <n v="179.08"/>
    <s v="Deal"/>
    <m/>
    <s v="Original Amount [EUR 52.86], Merchant Amount [EUR 52.86], Customer Amount [TRY 179.08], Status [APPROVED], Operation [3DAUTH], UUID [3634546-1458741842-216] [23/03/2016 at 14:04:00]"/>
  </r>
  <r>
    <s v="3634513-1458741822-224"/>
    <s v="Spot"/>
    <s v="3634513-1458741822-224"/>
    <n v="0"/>
    <d v="2016-03-31T00:00:00"/>
    <x v="829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4513-1458741822-224] [23/03/2016 at 14:03:00]"/>
  </r>
  <r>
    <s v="3634510-1458741817-200"/>
    <s v="Spot"/>
    <s v="3634510-1458741817-200"/>
    <n v="0"/>
    <d v="2016-03-31T00:00:00"/>
    <x v="830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4510-1458741817-200] [23/03/2016 at 14:03:00]"/>
  </r>
  <r>
    <s v="3634504-1458741809-199"/>
    <s v="Spot"/>
    <s v="3634504-1458741809-199"/>
    <n v="0"/>
    <d v="2016-03-31T00:00:00"/>
    <x v="83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4504-1458741809-199] [23/03/2016 at 14:03:00]"/>
  </r>
  <r>
    <s v="3634486-1458741790-224"/>
    <s v="Spot"/>
    <s v="3634486-1458741790-224"/>
    <n v="0"/>
    <d v="2016-03-31T00:00:00"/>
    <x v="832"/>
    <s v="224"/>
    <s v="SELL"/>
    <n v="132.83243164205294"/>
    <x v="0"/>
    <x v="3"/>
    <n v="9084.41"/>
    <s v="Deal"/>
    <m/>
    <s v="Original Amount [EUR 68.39], Merchant Amount [EUR 68.39], Customer Amount [JPY 9084.41], Status [APPROVED], Operation [DIRECT], UUID [3634486-1458741790-224] [23/03/2016 at 14:03:00]"/>
  </r>
  <r>
    <s v="3634483-1458741783-199"/>
    <s v="Spot"/>
    <s v="3634483-1458741783-199"/>
    <n v="0"/>
    <d v="2016-03-31T00:00:00"/>
    <x v="833"/>
    <s v="199"/>
    <s v="SELL"/>
    <n v="9.9670245398773005"/>
    <x v="0"/>
    <x v="1"/>
    <n v="129.97"/>
    <s v="Deal"/>
    <m/>
    <s v="Original Amount [EUR 13.04], Merchant Amount [EUR 13.04], Customer Amount [NOK 129.97], Status [APPROVED], Operation [DIRECT], UUID [3634483-1458741783-199] [23/03/2016 at 14:03:00]"/>
  </r>
  <r>
    <s v="3634459-1458741752-224"/>
    <s v="Spot"/>
    <s v="3634459-1458741752-224"/>
    <n v="0"/>
    <d v="2016-03-31T00:00:00"/>
    <x v="834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34459-1458741752-224] [23/03/2016 at 14:02:00]"/>
  </r>
  <r>
    <s v="3634555-1458741848-216"/>
    <s v="Spot"/>
    <s v="3634555-1458741848-216"/>
    <n v="0"/>
    <d v="2016-03-31T00:00:00"/>
    <x v="835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4555-1458741848-216] [23/03/2016 at 14:04:00]"/>
  </r>
  <r>
    <s v="3634444-1458741735-125"/>
    <s v="Spot"/>
    <s v="3634444-1458741735-125"/>
    <n v="0"/>
    <d v="2016-03-31T00:00:00"/>
    <x v="836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4444-1458741735-125] [23/03/2016 at 14:02:00]"/>
  </r>
  <r>
    <s v="3634441-1458741734-119"/>
    <s v="Spot"/>
    <s v="3634441-1458741734-119"/>
    <n v="0"/>
    <d v="2016-03-31T00:00:00"/>
    <x v="837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34441-1458741734-119] [23/03/2016 at 14:02:00]"/>
  </r>
  <r>
    <s v="3634432-1458741714-199"/>
    <s v="Spot"/>
    <s v="3634432-1458741714-199"/>
    <n v="0"/>
    <d v="2016-03-31T00:00:00"/>
    <x v="838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34432-1458741714-199] [23/03/2016 at 14:01:00]"/>
  </r>
  <r>
    <s v="3634450-1458741747-224"/>
    <s v="Spot"/>
    <s v="3634450-1458741747-224"/>
    <n v="0"/>
    <d v="2016-03-31T00:00:00"/>
    <x v="839"/>
    <s v="224"/>
    <s v="SELL"/>
    <n v="9.9505675818373813"/>
    <x v="0"/>
    <x v="1"/>
    <n v="1507.71"/>
    <s v="Deal"/>
    <m/>
    <s v="Original Amount [EUR 151.52], Merchant Amount [EUR 151.52], Customer Amount [NOK 1507.71], Status [APPROVED], Operation [3DAUTH], UUID [3634450-1458741747-224] [23/03/2016 at 14:02:00]"/>
  </r>
  <r>
    <s v="3634423-1458741705-199"/>
    <s v="Spot"/>
    <s v="3634423-1458741705-199"/>
    <n v="0"/>
    <d v="2016-03-31T00:00:00"/>
    <x v="840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34423-1458741705-199] [23/03/2016 at 14:01:00]"/>
  </r>
  <r>
    <s v="3634414-1458741684-199"/>
    <s v="Spot"/>
    <s v="3634414-1458741684-199"/>
    <n v="0"/>
    <d v="2016-03-31T00:00:00"/>
    <x v="84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414-1458741684-199] [23/03/2016 at 14:01:00]"/>
  </r>
  <r>
    <s v="3634387-1458741664-199"/>
    <s v="Spot"/>
    <s v="3634387-1458741664-199"/>
    <n v="0"/>
    <d v="2016-03-31T00:00:00"/>
    <x v="842"/>
    <s v="199"/>
    <s v="SELL"/>
    <n v="9.9509202453987733"/>
    <x v="0"/>
    <x v="1"/>
    <n v="129.76"/>
    <s v="Deal"/>
    <m/>
    <s v="Original Amount [EUR 13.04], Merchant Amount [EUR 13.04], Customer Amount [NOK 129.76], Status [APPROVED], Operation [DIRECT], UUID [3634387-1458741664-199] [23/03/2016 at 14:01:00]"/>
  </r>
  <r>
    <s v="3634384-1458741663-216"/>
    <s v="Spot"/>
    <s v="3634384-1458741663-216"/>
    <n v="0"/>
    <d v="2016-03-31T00:00:00"/>
    <x v="84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4384-1458741663-216] [23/03/2016 at 14:01:00]"/>
  </r>
  <r>
    <s v="3634381-1458741662-145"/>
    <s v="Spot"/>
    <s v="3634381-1458741662-145"/>
    <n v="0"/>
    <d v="2016-03-31T00:00:00"/>
    <x v="844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34381-1458741662-145] [23/03/2016 at 14:01:00]"/>
  </r>
  <r>
    <s v="3634375-1458741655-264"/>
    <s v="Spot"/>
    <s v="3634375-1458741655-264"/>
    <n v="0"/>
    <d v="2016-03-31T00:00:00"/>
    <x v="845"/>
    <s v="264"/>
    <s v="SELL"/>
    <n v="1.1813504823151126"/>
    <x v="0"/>
    <x v="7"/>
    <n v="18.37"/>
    <s v="Deal"/>
    <m/>
    <s v="Original Amount [TRY 50], Merchant Amount [EUR 15.55], Customer Amount [USD 18.37], Status [APPROVED], Operation [3DAUTH], UUID [3634375-1458741655-264] [23/03/2016 at 14:00:00]"/>
  </r>
  <r>
    <s v="3634366-1458741646-224"/>
    <s v="Spot"/>
    <s v="3634366-1458741646-224"/>
    <n v="0"/>
    <d v="2016-03-31T00:00:00"/>
    <x v="846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366-1458741646-224] [23/03/2016 at 14:00:00]"/>
  </r>
  <r>
    <s v="3634390-1458741665-203"/>
    <s v="Spot"/>
    <s v="3634390-1458741665-203"/>
    <n v="0"/>
    <d v="2016-03-31T00:00:00"/>
    <x v="847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34390-1458741665-203] [23/03/2016 at 14:01:00]"/>
  </r>
  <r>
    <s v="3634351-1458741640-200"/>
    <s v="Spot"/>
    <s v="3634351-1458741640-200"/>
    <n v="0"/>
    <d v="2016-03-31T00:00:00"/>
    <x v="848"/>
    <s v="200"/>
    <s v="SELL"/>
    <n v="9.9550000000000001"/>
    <x v="0"/>
    <x v="1"/>
    <n v="19.91"/>
    <s v="Deal"/>
    <m/>
    <s v="Original Amount [EUR 2], Merchant Amount [EUR 2], Customer Amount [NOK 19.91], Status [APPROVED], Operation [STORED], UUID [3634351-1458741640-200] [23/03/2016 at 14:00:00]"/>
  </r>
  <r>
    <s v="3634342-1458741625-199"/>
    <s v="Spot"/>
    <s v="3634342-1458741625-199"/>
    <n v="0"/>
    <d v="2016-03-31T00:00:00"/>
    <x v="849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4342-1458741625-199] [23/03/2016 at 14:00:00]"/>
  </r>
  <r>
    <s v="3634333-1458741613-119"/>
    <s v="Spot"/>
    <s v="3634333-1458741613-119"/>
    <n v="0"/>
    <d v="2016-03-31T00:00:00"/>
    <x v="850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34333-1458741613-119] [23/03/2016 at 14:00:00]"/>
  </r>
  <r>
    <s v="3634330-1458741610-199"/>
    <s v="Spot"/>
    <s v="3634330-1458741610-199"/>
    <n v="0"/>
    <d v="2016-03-31T00:00:00"/>
    <x v="85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4330-1458741610-199] [23/03/2016 at 14:00:00]"/>
  </r>
  <r>
    <s v="3634357-1458741641-216"/>
    <s v="Spot"/>
    <s v="3634357-1458741641-216"/>
    <n v="0"/>
    <d v="2016-03-31T00:00:00"/>
    <x v="852"/>
    <s v="216"/>
    <s v="SELL"/>
    <n v="3.392282958199357"/>
    <x v="0"/>
    <x v="0"/>
    <n v="94.95"/>
    <s v="Deal"/>
    <m/>
    <s v="Original Amount [EUR 27.99], Merchant Amount [EUR 27.99], Customer Amount [TRY 94.95], Status [APPROVED], Operation [3DAUTH], UUID [3634357-1458741641-216] [23/03/2016 at 14:00:00]"/>
  </r>
  <r>
    <s v="3634339-1458741625-56"/>
    <s v="Spot"/>
    <s v="3634339-1458741625-56"/>
    <n v="0"/>
    <d v="2016-03-31T00:00:00"/>
    <x v="853"/>
    <s v="56"/>
    <s v="SELL"/>
    <n v="3.3959074733096086"/>
    <x v="0"/>
    <x v="0"/>
    <n v="38.17"/>
    <s v="Deal"/>
    <m/>
    <s v="Original Amount [EUR 11.24], Merchant Amount [EUR 11.24], Customer Amount [TRY 38.17], Status [APPROVED], Operation [3DAUTH], UUID [3634339-1458741625-56] [23/03/2016 at 14:00:00]"/>
  </r>
  <r>
    <s v="3634306-1458741569-187"/>
    <s v="Spot"/>
    <s v="3634306-1458741569-187"/>
    <n v="0"/>
    <d v="2016-03-31T00:00:00"/>
    <x v="854"/>
    <s v="187"/>
    <s v="SELL"/>
    <n v="9.950850661625708"/>
    <x v="0"/>
    <x v="1"/>
    <n v="315.83999999999997"/>
    <s v="Deal"/>
    <m/>
    <s v="Original Amount [EUR 31.74], Merchant Amount [EUR 31.74], Customer Amount [NOK 315.84], Status [APPROVED], Operation [DIRECT], UUID [3634306-1458741569-187] [23/03/2016 at 13:59:00]"/>
  </r>
  <r>
    <s v="3634318-1458741593-216"/>
    <s v="Spot"/>
    <s v="3634318-1458741593-216"/>
    <n v="0"/>
    <d v="2016-03-31T00:00:00"/>
    <x v="855"/>
    <s v="216"/>
    <s v="SELL"/>
    <n v="3.3954983922829585"/>
    <x v="0"/>
    <x v="0"/>
    <n v="95.04"/>
    <s v="Deal"/>
    <m/>
    <s v="Original Amount [EUR 27.99], Merchant Amount [EUR 27.99], Customer Amount [TRY 95.04], Status [APPROVED], Operation [3DAUTH], UUID [3634318-1458741593-216] [23/03/2016 at 13:59:00]"/>
  </r>
  <r>
    <s v="3634291-1458741553-264"/>
    <s v="Spot"/>
    <s v="3634291-1458741553-264"/>
    <n v="0"/>
    <d v="2016-03-31T00:00:00"/>
    <x v="856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91-1458741553-264] [23/03/2016 at 13:59:00]"/>
  </r>
  <r>
    <s v="3634270-1458741527-264"/>
    <s v="Spot"/>
    <s v="3634270-1458741527-264"/>
    <n v="0"/>
    <d v="2016-03-31T00:00:00"/>
    <x v="857"/>
    <s v="264"/>
    <s v="SELL"/>
    <n v="1.1805421622200793"/>
    <x v="0"/>
    <x v="7"/>
    <n v="110.18"/>
    <s v="Deal"/>
    <m/>
    <s v="Original Amount [TRY 300], Merchant Amount [EUR 93.33], Customer Amount [USD 110.18], Status [APPROVED], Operation [3DAUTH], UUID [3634270-1458741527-264] [23/03/2016 at 13:58:00]"/>
  </r>
  <r>
    <s v="3634288-1458741551-101"/>
    <s v="Spot"/>
    <s v="3634288-1458741551-101"/>
    <n v="0"/>
    <d v="2016-03-31T00:00:00"/>
    <x v="858"/>
    <s v="101"/>
    <s v="SELL"/>
    <n v="3.3954280155642027"/>
    <x v="0"/>
    <x v="0"/>
    <n v="69.81"/>
    <s v="Deal"/>
    <m/>
    <s v="Original Amount [EUR 20.56], Merchant Amount [EUR 20.56], Customer Amount [TRY 69.81], Status [APPROVED], Operation [3DAUTH], UUID [3634288-1458741551-101] [23/03/2016 at 13:59:00]"/>
  </r>
  <r>
    <s v="3634261-1458741508-101"/>
    <s v="Spot"/>
    <s v="3634261-1458741508-101"/>
    <n v="0"/>
    <d v="2016-03-31T00:00:00"/>
    <x v="859"/>
    <s v="101"/>
    <s v="SELL"/>
    <n v="3.3953922789539233"/>
    <x v="0"/>
    <x v="0"/>
    <n v="54.53"/>
    <s v="Deal"/>
    <m/>
    <s v="Original Amount [EUR 16.06], Merchant Amount [EUR 16.06], Customer Amount [TRY 54.53], Status [APPROVED], Operation [3DAUTH], UUID [3634261-1458741508-101] [23/03/2016 at 13:58:00]"/>
  </r>
  <r>
    <s v="3634228-1458741462-124"/>
    <s v="Spot"/>
    <s v="3634228-1458741462-124"/>
    <n v="0"/>
    <d v="2016-03-31T00:00:00"/>
    <x v="860"/>
    <s v="124"/>
    <s v="SELL"/>
    <n v="9.950897072710104"/>
    <x v="0"/>
    <x v="1"/>
    <n v="105.38"/>
    <s v="Deal"/>
    <m/>
    <s v="Original Amount [EUR 10.59], Merchant Amount [EUR 10.59], Customer Amount [NOK 105.38], Status [APPROVED], Operation [DIRECT], UUID [3634228-1458741462-124] [23/03/2016 at 13:57:00]"/>
  </r>
  <r>
    <s v="3634252-1458741493-216"/>
    <s v="Spot"/>
    <s v="3634252-1458741493-216"/>
    <n v="0"/>
    <d v="2016-03-31T00:00:00"/>
    <x v="861"/>
    <s v="216"/>
    <s v="SELL"/>
    <n v="3.3953960731211916"/>
    <x v="0"/>
    <x v="0"/>
    <n v="100.3"/>
    <s v="Deal"/>
    <m/>
    <s v="Original Amount [EUR 29.54], Merchant Amount [EUR 29.54], Customer Amount [TRY 100.3], Status [APPROVED], Operation [3DAUTH], UUID [3634252-1458741493-216] [23/03/2016 at 13:58:00]"/>
  </r>
  <r>
    <s v="3634204-1458741424-224"/>
    <s v="Spot"/>
    <s v="3634204-1458741424-224"/>
    <n v="0"/>
    <d v="2016-03-31T00:00:00"/>
    <x v="86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204-1458741424-224] [23/03/2016 at 13:57:00]"/>
  </r>
  <r>
    <s v="3634201-1458741423-200"/>
    <s v="Spot"/>
    <s v="3634201-1458741423-200"/>
    <n v="0"/>
    <d v="2016-03-31T00:00:00"/>
    <x v="863"/>
    <s v="200"/>
    <s v="SELL"/>
    <n v="9.9512499999999999"/>
    <x v="0"/>
    <x v="1"/>
    <n v="79.61"/>
    <s v="Deal"/>
    <m/>
    <s v="Original Amount [EUR 8], Merchant Amount [EUR 8], Customer Amount [NOK 79.61], Status [APPROVED], Operation [STORED], UUID [3634201-1458741423-200] [23/03/2016 at 13:57:00]"/>
  </r>
  <r>
    <s v="3634192-1458741412-224"/>
    <s v="Spot"/>
    <s v="3634192-1458741412-224"/>
    <n v="0"/>
    <d v="2016-03-31T00:00:00"/>
    <x v="864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34192-1458741412-224] [23/03/2016 at 13:56:00]"/>
  </r>
  <r>
    <s v="3634186-1458741388-199"/>
    <s v="Spot"/>
    <s v="3634186-1458741388-199"/>
    <n v="0"/>
    <d v="2016-03-31T00:00:00"/>
    <x v="865"/>
    <s v="199"/>
    <s v="SELL"/>
    <n v="9.9505983430500144"/>
    <x v="0"/>
    <x v="1"/>
    <n v="324.29000000000002"/>
    <s v="Deal"/>
    <m/>
    <s v="Original Amount [EUR 32.59], Merchant Amount [EUR 32.59], Customer Amount [NOK 324.29], Status [APPROVED], Operation [DIRECT], UUID [3634186-1458741388-199] [23/03/2016 at 13:56:00]"/>
  </r>
  <r>
    <s v="3634189-1458741391-56"/>
    <s v="Spot"/>
    <s v="3634189-1458741391-56"/>
    <n v="0"/>
    <d v="2016-03-31T00:00:00"/>
    <x v="866"/>
    <s v="56"/>
    <s v="SELL"/>
    <n v="3.397260273972603"/>
    <x v="0"/>
    <x v="0"/>
    <n v="27.28"/>
    <s v="Deal"/>
    <m/>
    <s v="Original Amount [EUR 8.03], Merchant Amount [EUR 8.03], Customer Amount [TRY 27.28], Status [APPROVED], Operation [3DAUTH], UUID [3634189-1458741391-56] [23/03/2016 at 13:56:00]"/>
  </r>
  <r>
    <s v="3634171-1458741364-119"/>
    <s v="Spot"/>
    <s v="3634171-1458741364-119"/>
    <n v="0"/>
    <d v="2016-03-31T00:00:00"/>
    <x v="86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71-1458741364-119] [23/03/2016 at 13:56:00]"/>
  </r>
  <r>
    <s v="3634168-1458741358-119"/>
    <s v="Spot"/>
    <s v="3634168-1458741358-119"/>
    <n v="0"/>
    <d v="2016-03-31T00:00:00"/>
    <x v="868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4168-1458741358-119] [23/03/2016 at 13:55:00]"/>
  </r>
  <r>
    <s v="3634135-1458741327-126"/>
    <s v="Spot"/>
    <s v="3634135-1458741327-126"/>
    <n v="0"/>
    <d v="2016-03-31T00:00:00"/>
    <x v="869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34135-1458741327-126] [23/03/2016 at 13:55:00]"/>
  </r>
  <r>
    <s v="3634120-1458741315-224"/>
    <s v="Spot"/>
    <s v="3634120-1458741315-224"/>
    <n v="0"/>
    <d v="2016-03-31T00:00:00"/>
    <x v="870"/>
    <s v="224"/>
    <s v="SELL"/>
    <n v="133.03618421052633"/>
    <x v="0"/>
    <x v="3"/>
    <n v="1213.29"/>
    <s v="Deal"/>
    <m/>
    <s v="Original Amount [EUR 9.12], Merchant Amount [EUR 9.12], Customer Amount [JPY 1213.29], Status [APPROVED], Operation [DIRECT], UUID [3634120-1458741315-224] [23/03/2016 at 13:55:00]"/>
  </r>
  <r>
    <s v="3634150-1458741348-216"/>
    <s v="Spot"/>
    <s v="3634150-1458741348-216"/>
    <n v="0"/>
    <d v="2016-03-31T00:00:00"/>
    <x v="871"/>
    <s v="216"/>
    <s v="SELL"/>
    <n v="3.39766081871345"/>
    <x v="0"/>
    <x v="0"/>
    <n v="58.1"/>
    <s v="Deal"/>
    <m/>
    <s v="Original Amount [EUR 17.1], Merchant Amount [EUR 17.1], Customer Amount [TRY 58.1], Status [APPROVED], Operation [3DAUTH], UUID [3634150-1458741348-216] [23/03/2016 at 13:55:00]"/>
  </r>
  <r>
    <s v="3634114-1458741305-224"/>
    <s v="Spot"/>
    <s v="3634114-1458741305-224"/>
    <n v="0"/>
    <d v="2016-03-31T00:00:00"/>
    <x v="872"/>
    <s v="224"/>
    <s v="SELL"/>
    <n v="133.03554190434403"/>
    <x v="0"/>
    <x v="3"/>
    <n v="3031.88"/>
    <s v="Deal"/>
    <m/>
    <s v="Original Amount [EUR 22.79], Merchant Amount [EUR 22.79], Customer Amount [JPY 3031.88], Status [APPROVED], Operation [DIRECT], UUID [3634114-1458741305-224] [23/03/2016 at 13:55:00]"/>
  </r>
  <r>
    <s v="3634141-1458741331-216"/>
    <s v="Spot"/>
    <s v="3634141-1458741331-216"/>
    <n v="0"/>
    <d v="2016-03-31T00:00:00"/>
    <x v="873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34141-1458741331-216] [23/03/2016 at 13:55:00]"/>
  </r>
  <r>
    <s v="3634138-1458741331-101"/>
    <s v="Spot"/>
    <s v="3634138-1458741331-101"/>
    <n v="0"/>
    <d v="2016-03-31T00:00:00"/>
    <x v="874"/>
    <s v="101"/>
    <s v="SELL"/>
    <n v="3.3974403320650293"/>
    <x v="0"/>
    <x v="0"/>
    <n v="98.22"/>
    <s v="Deal"/>
    <m/>
    <s v="Original Amount [EUR 28.91], Merchant Amount [EUR 28.91], Customer Amount [TRY 98.22], Status [APPROVED], Operation [3DAUTH], UUID [3634138-1458741331-101] [23/03/2016 at 13:55:00]"/>
  </r>
  <r>
    <s v="3634099-1458741285-171"/>
    <s v="Spot"/>
    <s v="3634099-1458741285-171"/>
    <n v="0"/>
    <d v="2016-03-31T00:00:00"/>
    <x v="87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4099-1458741285-171] [23/03/2016 at 13:54:00]"/>
  </r>
  <r>
    <s v="3634090-1458741276-261"/>
    <s v="Spot"/>
    <s v="3634090-1458741276-261"/>
    <n v="0"/>
    <d v="2016-03-31T00:00:00"/>
    <x v="876"/>
    <s v="261"/>
    <s v="SELL"/>
    <n v="9.9505595584853594"/>
    <x v="0"/>
    <x v="1"/>
    <n v="5192.6000000000004"/>
    <s v="Deal"/>
    <m/>
    <s v="Original Amount [EUR 521.84], Merchant Amount [EUR 521.84], Customer Amount [NOK 5192.6], Status [APPROVED], Operation [DIRECT], UUID [3634090-1458741276-261] [23/03/2016 at 13:54:00]"/>
  </r>
  <r>
    <s v="3634129-1458741318-101"/>
    <s v="Spot"/>
    <s v="3634129-1458741318-101"/>
    <n v="0"/>
    <d v="2016-03-31T00:00:00"/>
    <x v="877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4129-1458741318-101] [23/03/2016 at 13:55:00]"/>
  </r>
  <r>
    <s v="3634084-1458741272-145"/>
    <s v="Spot"/>
    <s v="3634084-1458741272-145"/>
    <n v="0"/>
    <d v="2016-03-31T00:00:00"/>
    <x v="878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4084-1458741272-145] [23/03/2016 at 13:54:00]"/>
  </r>
  <r>
    <s v="3634075-1458741262-199"/>
    <s v="Spot"/>
    <s v="3634075-1458741262-199"/>
    <n v="0"/>
    <d v="2016-03-31T00:00:00"/>
    <x v="879"/>
    <s v="199"/>
    <s v="SELL"/>
    <n v="9.9509202453987715"/>
    <x v="0"/>
    <x v="1"/>
    <n v="162.19999999999999"/>
    <s v="Deal"/>
    <m/>
    <s v="Original Amount [EUR 16.3], Merchant Amount [EUR 16.3], Customer Amount [NOK 162.2], Status [APPROVED], Operation [DIRECT], UUID [3634075-1458741262-199] [23/03/2016 at 13:54:00]"/>
  </r>
  <r>
    <s v="3634069-1458741251-261"/>
    <s v="Spot"/>
    <s v="3634069-1458741251-261"/>
    <n v="0"/>
    <d v="2016-03-31T00:00:00"/>
    <x v="880"/>
    <s v="261"/>
    <s v="SELL"/>
    <n v="9.9509345794392523"/>
    <x v="0"/>
    <x v="1"/>
    <n v="212.95"/>
    <s v="Deal"/>
    <m/>
    <s v="Original Amount [EUR 21.4], Merchant Amount [EUR 21.4], Customer Amount [NOK 212.95], Status [APPROVED], Operation [DIRECT], UUID [3634069-1458741251-261] [23/03/2016 at 13:54:00]"/>
  </r>
  <r>
    <s v="3634054-1458741234-187"/>
    <s v="Spot"/>
    <s v="3634054-1458741234-187"/>
    <n v="0"/>
    <d v="2016-03-31T00:00:00"/>
    <x v="881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4054-1458741234-187] [23/03/2016 at 13:53:00]"/>
  </r>
  <r>
    <s v="3634051-1458741221-102"/>
    <s v="Spot"/>
    <s v="3634051-1458741221-102"/>
    <n v="0"/>
    <d v="2016-03-31T00:00:00"/>
    <x v="882"/>
    <s v="102"/>
    <s v="SELL"/>
    <n v="3.3919354838709674"/>
    <x v="0"/>
    <x v="0"/>
    <n v="315.45"/>
    <s v="Deal"/>
    <m/>
    <s v="Original Amount [EUR 93], Merchant Amount [EUR 93], Customer Amount [TRY 315.45], Status [APPROVED], Operation [3DAUTH], UUID [3634051-1458741221-102] [23/03/2016 at 13:53:00]"/>
  </r>
  <r>
    <s v="3634018-1458741192-134"/>
    <s v="Spot"/>
    <s v="3634018-1458741192-134"/>
    <n v="0"/>
    <d v="2016-03-31T00:00:00"/>
    <x v="883"/>
    <s v="134"/>
    <s v="SELL"/>
    <n v="132.83258594917785"/>
    <x v="0"/>
    <x v="3"/>
    <n v="7109.2"/>
    <s v="Deal"/>
    <m/>
    <s v="Original Amount [EUR 53.52], Merchant Amount [EUR 53.52], Customer Amount [JPY 7109.2], Status [APPROVED], Operation [STORED], UUID [3634018-1458741192-134] [23/03/2016 at 13:53:00]"/>
  </r>
  <r>
    <s v="3634033-1458741206-216"/>
    <s v="Spot"/>
    <s v="3634033-1458741206-216"/>
    <n v="0"/>
    <d v="2016-03-31T00:00:00"/>
    <x v="884"/>
    <s v="216"/>
    <s v="SELL"/>
    <n v="3.391938250428816"/>
    <x v="0"/>
    <x v="0"/>
    <n v="79.099999999999994"/>
    <s v="Deal"/>
    <m/>
    <s v="Original Amount [EUR 23.32], Merchant Amount [EUR 23.32], Customer Amount [TRY 79.1], Status [APPROVED], Operation [3DAUTH], UUID [3634033-1458741206-216] [23/03/2016 at 13:53:00]"/>
  </r>
  <r>
    <s v="3634036-1458741210-107"/>
    <s v="Spot"/>
    <s v="3634036-1458741210-107"/>
    <n v="0"/>
    <d v="2016-03-31T00:00:00"/>
    <x v="885"/>
    <s v="107"/>
    <s v="SELL"/>
    <n v="3.3919709501714745"/>
    <x v="0"/>
    <x v="0"/>
    <n v="168.14"/>
    <s v="Deal"/>
    <m/>
    <s v="Original Amount [EUR 49.57], Merchant Amount [EUR 49.57], Customer Amount [TRY 168.14], Status [APPROVED], Operation [3DAUTH], UUID [3634036-1458741210-107] [23/03/2016 at 13:53:00]"/>
  </r>
  <r>
    <s v="3634039-1458741215-56"/>
    <s v="Spot"/>
    <s v="3634039-1458741215-56"/>
    <n v="0"/>
    <d v="2016-03-31T00:00:00"/>
    <x v="886"/>
    <s v="56"/>
    <s v="SELL"/>
    <n v="3.3921568627450975"/>
    <x v="0"/>
    <x v="0"/>
    <n v="108.99"/>
    <s v="Deal"/>
    <m/>
    <s v="Original Amount [EUR 32.13], Merchant Amount [EUR 32.13], Customer Amount [TRY 108.99], Status [APPROVED], Operation [3DAUTH], UUID [3634039-1458741215-56] [23/03/2016 at 13:53:00]"/>
  </r>
  <r>
    <s v="3634000-1458741170-224"/>
    <s v="Spot"/>
    <s v="3634000-1458741170-224"/>
    <n v="0"/>
    <d v="2016-03-31T00:00:00"/>
    <x v="88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4000-1458741170-224] [23/03/2016 at 13:52:00]"/>
  </r>
  <r>
    <s v="3634024-1458741197-216"/>
    <s v="Spot"/>
    <s v="3634024-1458741197-216"/>
    <n v="0"/>
    <d v="2016-03-31T00:00:00"/>
    <x v="888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34024-1458741197-216] [23/03/2016 at 13:53:00]"/>
  </r>
  <r>
    <s v="3633979-1458741150-107"/>
    <s v="Spot"/>
    <s v="3633979-1458741150-107"/>
    <n v="0"/>
    <d v="2016-03-31T00:00:00"/>
    <x v="889"/>
    <s v="107"/>
    <s v="SELL"/>
    <n v="3.3919733161179257"/>
    <x v="0"/>
    <x v="0"/>
    <n v="315.25"/>
    <s v="Deal"/>
    <m/>
    <s v="Original Amount [EUR 92.94], Merchant Amount [EUR 92.94], Customer Amount [TRY 315.25], Status [WAITING], Operation [3D], UUID [3633979-1458741150-107] [23/03/2016 at 13:52:00]"/>
  </r>
  <r>
    <s v="3633973-1458741145-199"/>
    <s v="Spot"/>
    <s v="3633973-1458741145-199"/>
    <n v="0"/>
    <d v="2016-03-31T00:00:00"/>
    <x v="890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33973-1458741145-199] [23/03/2016 at 13:52:00]"/>
  </r>
  <r>
    <s v="3633982-1458741154-56"/>
    <s v="Spot"/>
    <s v="3633982-1458741154-56"/>
    <n v="0"/>
    <d v="2016-03-31T00:00:00"/>
    <x v="891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82-1458741154-56] [23/03/2016 at 13:52:00]"/>
  </r>
  <r>
    <s v="3633961-1458741134-216"/>
    <s v="Spot"/>
    <s v="3633961-1458741134-216"/>
    <n v="0"/>
    <d v="2016-03-31T00:00:00"/>
    <x v="892"/>
    <s v="216"/>
    <s v="SELL"/>
    <n v="3.3919588414634148"/>
    <x v="0"/>
    <x v="0"/>
    <n v="712.04"/>
    <s v="Deal"/>
    <m/>
    <s v="Original Amount [EUR 209.92], Merchant Amount [EUR 209.92], Customer Amount [TRY 712.04], Status [APPROVED], Operation [3DAUTH], UUID [3633961-1458741134-216] [23/03/2016 at 13:52:00]"/>
  </r>
  <r>
    <s v="3633967-1458741137-56"/>
    <s v="Spot"/>
    <s v="3633967-1458741137-56"/>
    <n v="0"/>
    <d v="2016-03-31T00:00:00"/>
    <x v="893"/>
    <s v="56"/>
    <s v="SELL"/>
    <n v="3.3922789539227898"/>
    <x v="0"/>
    <x v="0"/>
    <n v="54.48"/>
    <s v="Deal"/>
    <m/>
    <s v="Original Amount [EUR 16.06], Merchant Amount [EUR 16.06], Customer Amount [TRY 54.48], Status [APPROVED], Operation [3DAUTH], UUID [3633967-1458741137-56] [23/03/2016 at 13:52:00]"/>
  </r>
  <r>
    <s v="3633940-1458741089-216"/>
    <s v="Spot"/>
    <s v="3633940-1458741089-216"/>
    <n v="0"/>
    <d v="2016-03-31T00:00:00"/>
    <x v="894"/>
    <s v="216"/>
    <s v="SELL"/>
    <n v="3.3919519576319277"/>
    <x v="0"/>
    <x v="0"/>
    <n v="717.33"/>
    <s v="Deal"/>
    <m/>
    <s v="Original Amount [EUR 211.48], Merchant Amount [EUR 211.48], Customer Amount [TRY 717.33], Status [WAITING], Operation [3D], UUID [3633940-1458741089-216] [23/03/2016 at 13:51:00]"/>
  </r>
  <r>
    <s v="3633937-1458741087-199"/>
    <s v="Spot"/>
    <s v="3633937-1458741087-199"/>
    <n v="0"/>
    <d v="2016-03-31T00:00:00"/>
    <x v="895"/>
    <s v="199"/>
    <s v="SELL"/>
    <n v="9.9551430781129167"/>
    <x v="0"/>
    <x v="1"/>
    <n v="128.72"/>
    <s v="Deal"/>
    <m/>
    <s v="Original Amount [EUR 12.93], Merchant Amount [EUR 12.93], Customer Amount [NOK 128.72], Status [APPROVED], Operation [DIRECT], UUID [3633937-1458741087-199] [23/03/2016 at 13:51:00]"/>
  </r>
  <r>
    <s v="3633931-1458741067-199"/>
    <s v="Spot"/>
    <s v="3633931-1458741067-199"/>
    <n v="0"/>
    <d v="2016-03-31T00:00:00"/>
    <x v="896"/>
    <s v="199"/>
    <s v="SELL"/>
    <n v="9.9546207658321055"/>
    <x v="0"/>
    <x v="1"/>
    <n v="1081.47"/>
    <s v="Deal"/>
    <m/>
    <s v="Original Amount [EUR 108.64], Merchant Amount [EUR 108.64], Customer Amount [NOK 1081.47], Status [APPROVED], Operation [DIRECT], UUID [3633931-1458741067-199] [23/03/2016 at 13:51:00]"/>
  </r>
  <r>
    <s v="3633928-1458741067-216"/>
    <s v="Spot"/>
    <s v="3633928-1458741067-216"/>
    <n v="0"/>
    <d v="2016-03-31T00:00:00"/>
    <x v="897"/>
    <s v="216"/>
    <s v="SELL"/>
    <n v="3.3919614147909969"/>
    <x v="0"/>
    <x v="0"/>
    <n v="738.43"/>
    <s v="Deal"/>
    <m/>
    <s v="Original Amount [EUR 217.7], Merchant Amount [EUR 217.7], Customer Amount [TRY 738.43], Status [WAITING], Operation [3D], UUID [3633928-1458741067-216] [23/03/2016 at 13:51:00]"/>
  </r>
  <r>
    <s v="3633934-1458741074-216"/>
    <s v="Spot"/>
    <s v="3633934-1458741074-216"/>
    <n v="0"/>
    <d v="2016-03-31T00:00:00"/>
    <x v="898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34-1458741074-216] [23/03/2016 at 13:51:00]"/>
  </r>
  <r>
    <s v="3633889-1458741036-126"/>
    <s v="Spot"/>
    <s v="3633889-1458741036-126"/>
    <n v="0"/>
    <d v="2016-03-31T00:00:00"/>
    <x v="899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33889-1458741036-126] [23/03/2016 at 13:50:00]"/>
  </r>
  <r>
    <s v="3633895-1458741040-56"/>
    <s v="Spot"/>
    <s v="3633895-1458741040-56"/>
    <n v="0"/>
    <d v="2016-03-31T00:00:00"/>
    <x v="900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3895-1458741040-56] [23/03/2016 at 13:50:00]"/>
  </r>
  <r>
    <s v="3633877-1458741018-119"/>
    <s v="Spot"/>
    <s v="3633877-1458741018-119"/>
    <n v="0"/>
    <d v="2016-03-31T00:00:00"/>
    <x v="901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3877-1458741018-119] [23/03/2016 at 13:50:00]"/>
  </r>
  <r>
    <s v="3633919-1458741054-119"/>
    <s v="Spot"/>
    <s v="3633919-1458741054-119"/>
    <n v="0"/>
    <d v="2016-03-31T00:00:00"/>
    <x v="902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3919-1458741054-119] [23/03/2016 at 13:50:00]"/>
  </r>
  <r>
    <s v="3633913-1458741052-56"/>
    <s v="Spot"/>
    <s v="3633913-1458741052-56"/>
    <n v="0"/>
    <d v="2016-03-31T00:00:00"/>
    <x v="903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3913-1458741052-56] [23/03/2016 at 13:50:00]"/>
  </r>
  <r>
    <s v="3633853-1458740986-216"/>
    <s v="Spot"/>
    <s v="3633853-1458740986-216"/>
    <n v="0"/>
    <d v="2016-03-31T00:00:00"/>
    <x v="904"/>
    <s v="216"/>
    <s v="SELL"/>
    <n v="3.3881028938906752"/>
    <x v="0"/>
    <x v="0"/>
    <n v="105.37"/>
    <s v="Deal"/>
    <m/>
    <s v="Original Amount [EUR 31.1], Merchant Amount [EUR 31.1], Customer Amount [TRY 105.37], Status [WAITING], Operation [3D], UUID [3633853-1458740986-216] [23/03/2016 at 13:49:00]"/>
  </r>
  <r>
    <s v="3633910-1458741049-216"/>
    <s v="Spot"/>
    <s v="3633910-1458741049-216"/>
    <n v="0"/>
    <d v="2016-03-31T00:00:00"/>
    <x v="905"/>
    <s v="216"/>
    <s v="SELL"/>
    <n v="3.3881028938906752"/>
    <x v="0"/>
    <x v="0"/>
    <n v="105.37"/>
    <s v="Deal"/>
    <m/>
    <s v="Original Amount [EUR 31.1], Merchant Amount [EUR 31.1], Customer Amount [TRY 105.37], Status [APPROVED], Operation [3DAUTH], UUID [3633910-1458741049-216] [23/03/2016 at 13:50:00]"/>
  </r>
  <r>
    <s v="3633886-1458741024-101"/>
    <s v="Spot"/>
    <s v="3633886-1458741024-101"/>
    <n v="0"/>
    <d v="2016-03-31T00:00:00"/>
    <x v="906"/>
    <s v="101"/>
    <s v="SELL"/>
    <n v="3.3885429638854299"/>
    <x v="0"/>
    <x v="0"/>
    <n v="27.21"/>
    <s v="Deal"/>
    <m/>
    <s v="Original Amount [EUR 8.03], Merchant Amount [EUR 8.03], Customer Amount [TRY 27.21], Status [APPROVED], Operation [3DAUTH], UUID [3633886-1458741024-101] [23/03/2016 at 13:50:00]"/>
  </r>
  <r>
    <s v="3633838-1458740957-224"/>
    <s v="Spot"/>
    <s v="3633838-1458740957-224"/>
    <n v="0"/>
    <d v="2016-03-31T00:00:00"/>
    <x v="90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8-1458740957-224] [23/03/2016 at 13:49:00]"/>
  </r>
  <r>
    <s v="3633835-1458740953-224"/>
    <s v="Spot"/>
    <s v="3633835-1458740953-224"/>
    <n v="0"/>
    <d v="2016-03-31T00:00:00"/>
    <x v="908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835-1458740953-224] [23/03/2016 at 13:49:00]"/>
  </r>
  <r>
    <s v="3633850-1458740974-203"/>
    <s v="Spot"/>
    <s v="3633850-1458740974-203"/>
    <n v="0"/>
    <d v="2016-03-31T00:00:00"/>
    <x v="909"/>
    <s v="203"/>
    <s v="SELL"/>
    <n v="3.3879032258064519"/>
    <x v="0"/>
    <x v="0"/>
    <n v="210.05"/>
    <s v="Deal"/>
    <m/>
    <s v="Original Amount [EUR 62], Merchant Amount [EUR 62], Customer Amount [TRY 210.05], Status [APPROVED], Operation [3DAUTH], UUID [3633850-1458740974-203] [23/03/2016 at 13:49:00]"/>
  </r>
  <r>
    <s v="3633820-1458740922-224"/>
    <s v="Spot"/>
    <s v="3633820-1458740922-224"/>
    <n v="0"/>
    <d v="2016-03-31T00:00:00"/>
    <x v="910"/>
    <s v="224"/>
    <s v="SELL"/>
    <n v="132.99334203655354"/>
    <x v="0"/>
    <x v="3"/>
    <n v="10187.290000000001"/>
    <s v="Deal"/>
    <m/>
    <s v="Original Amount [EUR 76.6], Merchant Amount [EUR 76.6], Customer Amount [JPY 10187.29], Status [APPROVED], Operation [DIRECT], UUID [3633820-1458740922-224] [23/03/2016 at 13:48:00]"/>
  </r>
  <r>
    <s v="3633991-1458741160-216"/>
    <s v="Spot"/>
    <s v="3633991-1458741160-216"/>
    <n v="0"/>
    <d v="2016-03-31T00:00:00"/>
    <x v="911"/>
    <s v="216"/>
    <s v="SELL"/>
    <n v="3.3883928571428577"/>
    <x v="0"/>
    <x v="0"/>
    <n v="37.950000000000003"/>
    <s v="Deal"/>
    <m/>
    <s v="Original Amount [EUR 11.2], Merchant Amount [EUR 11.2], Customer Amount [TRY 37.95], Status [APPROVED], Operation [3DAUTH], UUID [3633991-1458741160-216] [23/03/2016 at 13:52:00]"/>
  </r>
  <r>
    <s v="3633916-1458741054-101"/>
    <s v="Spot"/>
    <s v="3633916-1458741054-101"/>
    <n v="0"/>
    <d v="2016-03-31T00:00:00"/>
    <x v="912"/>
    <s v="101"/>
    <s v="SELL"/>
    <n v="3.3879668049792531"/>
    <x v="0"/>
    <x v="0"/>
    <n v="48.99"/>
    <s v="Deal"/>
    <m/>
    <s v="Original Amount [EUR 14.46], Merchant Amount [EUR 14.46], Customer Amount [TRY 48.99], Status [APPROVED], Operation [3DAUTH], UUID [3633916-1458741054-101] [23/03/2016 at 13:50:00]"/>
  </r>
  <r>
    <s v="3633787-1458740876-224"/>
    <s v="Spot"/>
    <s v="3633787-1458740876-224"/>
    <n v="0"/>
    <d v="2016-03-31T00:00:00"/>
    <x v="913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33787-1458740876-224] [23/03/2016 at 13:47:00]"/>
  </r>
  <r>
    <s v="3633778-1458740869-187"/>
    <s v="Spot"/>
    <s v="3633778-1458740869-187"/>
    <n v="0"/>
    <d v="2016-03-31T00:00:00"/>
    <x v="91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3778-1458740869-187] [23/03/2016 at 13:47:00]"/>
  </r>
  <r>
    <s v="3633775-1458740869-119"/>
    <s v="Spot"/>
    <s v="3633775-1458740869-119"/>
    <n v="0"/>
    <d v="2016-03-31T00:00:00"/>
    <x v="915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3775-1458740869-119] [23/03/2016 at 13:47:00]"/>
  </r>
  <r>
    <s v="3633769-1458740853-199"/>
    <s v="Spot"/>
    <s v="3633769-1458740853-199"/>
    <n v="0"/>
    <d v="2016-03-31T00:00:00"/>
    <x v="916"/>
    <s v="199"/>
    <s v="SELL"/>
    <n v="9.9754601226993849"/>
    <x v="0"/>
    <x v="1"/>
    <n v="162.6"/>
    <s v="Deal"/>
    <m/>
    <s v="Original Amount [EUR 16.3], Merchant Amount [EUR 16.3], Customer Amount [NOK 162.6], Status [APPROVED], Operation [DIRECT], UUID [3633769-1458740853-199] [23/03/2016 at 13:47:00]"/>
  </r>
  <r>
    <s v="3633760-1458740846-224"/>
    <s v="Spot"/>
    <s v="3633760-1458740846-224"/>
    <n v="0"/>
    <d v="2016-03-31T00:00:00"/>
    <x v="917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760-1458740846-224] [23/03/2016 at 13:47:00]"/>
  </r>
  <r>
    <s v="3633751-1458740831-119"/>
    <s v="Spot"/>
    <s v="3633751-1458740831-119"/>
    <n v="0"/>
    <d v="2016-03-31T00:00:00"/>
    <x v="918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51-1458740831-119] [23/03/2016 at 13:47:00]"/>
  </r>
  <r>
    <s v="3633745-1458740819-119"/>
    <s v="Spot"/>
    <s v="3633745-1458740819-119"/>
    <n v="0"/>
    <d v="2016-03-31T00:00:00"/>
    <x v="919"/>
    <s v="119"/>
    <s v="SELL"/>
    <n v="9.9754000000000005"/>
    <x v="0"/>
    <x v="1"/>
    <n v="997.54"/>
    <s v="Deal"/>
    <m/>
    <s v="Original Amount [EUR 100], Merchant Amount [EUR 100], Customer Amount [NOK 997.54], Status [APPROVED], Operation [DIRECT], UUID [3633745-1458740819-119] [23/03/2016 at 13:46:00]"/>
  </r>
  <r>
    <s v="3633739-1458740811-119"/>
    <s v="Spot"/>
    <s v="3633739-1458740811-119"/>
    <n v="0"/>
    <d v="2016-03-31T00:00:00"/>
    <x v="920"/>
    <s v="119"/>
    <s v="SELL"/>
    <n v="9.9753600000000002"/>
    <x v="0"/>
    <x v="1"/>
    <n v="2493.84"/>
    <s v="Deal"/>
    <m/>
    <s v="Original Amount [EUR 250], Merchant Amount [EUR 250], Customer Amount [NOK 2493.84], Status [APPROVED], Operation [DIRECT], UUID [3633739-1458740811-119] [23/03/2016 at 13:46:00]"/>
  </r>
  <r>
    <s v="3633736-1458740810-261"/>
    <s v="Spot"/>
    <s v="3633736-1458740810-261"/>
    <n v="0"/>
    <d v="2016-03-31T00:00:00"/>
    <x v="921"/>
    <s v="261"/>
    <s v="SELL"/>
    <n v="9.9757009345794394"/>
    <x v="0"/>
    <x v="1"/>
    <n v="213.48"/>
    <s v="Deal"/>
    <m/>
    <s v="Original Amount [EUR 21.4], Merchant Amount [EUR 21.4], Customer Amount [NOK 213.48], Status [APPROVED], Operation [DIRECT], UUID [3633736-1458740810-261] [23/03/2016 at 13:46:00]"/>
  </r>
  <r>
    <s v="3633718-1458740797-200"/>
    <s v="Spot"/>
    <s v="3633718-1458740797-200"/>
    <n v="0"/>
    <d v="2016-03-31T00:00:00"/>
    <x v="922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3718-1458740797-200] [23/03/2016 at 13:46:00]"/>
  </r>
  <r>
    <s v="3633748-1458740820-203"/>
    <s v="Spot"/>
    <s v="3633748-1458740820-203"/>
    <n v="0"/>
    <d v="2016-03-31T00:00:00"/>
    <x v="923"/>
    <s v="203"/>
    <s v="SELL"/>
    <n v="3.3954301075268813"/>
    <x v="0"/>
    <x v="0"/>
    <n v="126.31"/>
    <s v="Deal"/>
    <m/>
    <s v="Original Amount [EUR 37.2], Merchant Amount [EUR 37.2], Customer Amount [TRY 126.31], Status [APPROVED], Operation [3DAUTH], UUID [3633748-1458740820-203] [23/03/2016 at 13:47:00]"/>
  </r>
  <r>
    <s v="3633706-1458740792-187"/>
    <s v="Spot"/>
    <s v="3633706-1458740792-187"/>
    <n v="0"/>
    <d v="2016-03-31T00:00:00"/>
    <x v="924"/>
    <s v="187"/>
    <s v="SELL"/>
    <n v="9.9754206844394027"/>
    <x v="0"/>
    <x v="1"/>
    <n v="527.6"/>
    <s v="Deal"/>
    <m/>
    <s v="Original Amount [EUR 52.89], Merchant Amount [EUR 52.89], Customer Amount [NOK 527.6], Status [APPROVED], Operation [DIRECT], UUID [3633706-1458740792-187] [23/03/2016 at 13:46:00]"/>
  </r>
  <r>
    <s v="3633700-1458740788-261"/>
    <s v="Spot"/>
    <s v="3633700-1458740788-261"/>
    <n v="0"/>
    <d v="2016-03-31T00:00:00"/>
    <x v="925"/>
    <s v="261"/>
    <s v="SELL"/>
    <n v="9.9753620411180162"/>
    <x v="0"/>
    <x v="1"/>
    <n v="3643.9"/>
    <s v="Deal"/>
    <m/>
    <s v="Original Amount [EUR 365.29], Merchant Amount [EUR 365.29], Customer Amount [NOK 3643.9], Status [APPROVED], Operation [DIRECT], UUID [3633700-1458740788-261] [23/03/2016 at 13:46:00]"/>
  </r>
  <r>
    <s v="3633691-1458740777-187"/>
    <s v="Spot"/>
    <s v="3633691-1458740777-187"/>
    <n v="0"/>
    <d v="2016-03-31T00:00:00"/>
    <x v="926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691-1458740777-187] [23/03/2016 at 13:46:00]"/>
  </r>
  <r>
    <s v="3633685-1458740777-224"/>
    <s v="Spot"/>
    <s v="3633685-1458740777-224"/>
    <n v="0"/>
    <d v="2016-03-31T00:00:00"/>
    <x v="927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685-1458740777-224] [23/03/2016 at 13:46:00]"/>
  </r>
  <r>
    <s v="3633742-1458740818-203"/>
    <s v="Spot"/>
    <s v="3633742-1458740818-203"/>
    <n v="0"/>
    <d v="2016-03-31T00:00:00"/>
    <x v="928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3742-1458740818-203] [23/03/2016 at 13:46:00]"/>
  </r>
  <r>
    <s v="3633721-1458740798-107"/>
    <s v="Spot"/>
    <s v="3633721-1458740798-107"/>
    <n v="0"/>
    <d v="2016-03-31T00:00:00"/>
    <x v="929"/>
    <s v="107"/>
    <s v="SELL"/>
    <n v="3.3957298907646476"/>
    <x v="0"/>
    <x v="0"/>
    <n v="68.39"/>
    <s v="Deal"/>
    <m/>
    <s v="Original Amount [EUR 20.14], Merchant Amount [EUR 20.14], Customer Amount [TRY 68.39], Status [APPROVED], Operation [3DAUTH], UUID [3633721-1458740798-107] [23/03/2016 at 13:46:00]"/>
  </r>
  <r>
    <s v="3633670-1458740764-124"/>
    <s v="Spot"/>
    <s v="3633670-1458740764-124"/>
    <n v="0"/>
    <d v="2016-03-31T00:00:00"/>
    <x v="930"/>
    <s v="124"/>
    <s v="SELL"/>
    <n v="9.9754184600669547"/>
    <x v="0"/>
    <x v="1"/>
    <n v="1042.93"/>
    <s v="Deal"/>
    <m/>
    <s v="Original Amount [EUR 104.55], Merchant Amount [EUR 104.55], Customer Amount [NOK 1042.93], Status [APPROVED], Operation [3DAUTH], UUID [3633670-1458740764-124] [23/03/2016 at 13:46:00]"/>
  </r>
  <r>
    <s v="3633715-1458740794-119"/>
    <s v="Spot"/>
    <s v="3633715-1458740794-119"/>
    <n v="0"/>
    <d v="2016-03-31T00:00:00"/>
    <x v="931"/>
    <s v="119"/>
    <s v="SELL"/>
    <n v="9.9754000000000005"/>
    <x v="0"/>
    <x v="1"/>
    <n v="498.77"/>
    <s v="Deal"/>
    <m/>
    <s v="Original Amount [EUR 50], Merchant Amount [EUR 50], Customer Amount [NOK 498.77], Status [APPROVED], Operation [3DAUTH], UUID [3633715-1458740794-119] [23/03/2016 at 13:46:00]"/>
  </r>
  <r>
    <s v="3633628-1458740706-264"/>
    <s v="Spot"/>
    <s v="3633628-1458740706-264"/>
    <n v="0"/>
    <d v="2016-03-31T00:00:00"/>
    <x v="932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28-1458740706-264] [23/03/2016 at 13:45:00]"/>
  </r>
  <r>
    <s v="3633667-1458740763-196"/>
    <s v="Spot"/>
    <s v="3633667-1458740763-196"/>
    <n v="0"/>
    <d v="2016-03-31T00:00:00"/>
    <x v="933"/>
    <s v="196"/>
    <s v="SELL"/>
    <n v="9.9507702612190219"/>
    <x v="0"/>
    <x v="1"/>
    <n v="297.13"/>
    <s v="Deal"/>
    <m/>
    <s v="Original Amount [EUR 29.86], Merchant Amount [EUR 29.86], Customer Amount [NOK 297.13], Status [APPROVED], Operation [3DAUTH], UUID [3633667-1458740763-196] [23/03/2016 at 13:46:00]"/>
  </r>
  <r>
    <s v="3633613-1458740687-125"/>
    <s v="Spot"/>
    <s v="3633613-1458740687-125"/>
    <n v="0"/>
    <d v="2016-03-31T00:00:00"/>
    <x v="934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3613-1458740687-125] [23/03/2016 at 13:44:00]"/>
  </r>
  <r>
    <s v="3633637-1458740714-216"/>
    <s v="Spot"/>
    <s v="3633637-1458740714-216"/>
    <n v="0"/>
    <d v="2016-03-31T00:00:00"/>
    <x v="935"/>
    <s v="216"/>
    <s v="SELL"/>
    <n v="3.3974276527331186"/>
    <x v="0"/>
    <x v="0"/>
    <n v="105.66"/>
    <s v="Deal"/>
    <m/>
    <s v="Original Amount [EUR 31.1], Merchant Amount [EUR 31.1], Customer Amount [TRY 105.66], Status [APPROVED], Operation [3DAUTH], UUID [3633637-1458740714-216] [23/03/2016 at 13:45:00]"/>
  </r>
  <r>
    <s v="3633601-1458740679-224"/>
    <s v="Spot"/>
    <s v="3633601-1458740679-224"/>
    <n v="0"/>
    <d v="2016-03-31T00:00:00"/>
    <x v="936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3601-1458740679-224] [23/03/2016 at 13:44:00]"/>
  </r>
  <r>
    <s v="3633655-1458740736-200"/>
    <s v="Spot"/>
    <s v="3633655-1458740736-200"/>
    <n v="0"/>
    <d v="2016-03-31T00:00:00"/>
    <x v="93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3DAUTH], UUID [3633655-1458740736-200] [23/03/2016 at 13:45:00]"/>
  </r>
  <r>
    <s v="3633604-1458740682-264"/>
    <s v="Spot"/>
    <s v="3633604-1458740682-264"/>
    <n v="0"/>
    <d v="2016-03-31T00:00:00"/>
    <x v="938"/>
    <s v="264"/>
    <s v="SELL"/>
    <n v="1.1808054841473865"/>
    <x v="0"/>
    <x v="7"/>
    <n v="110.24"/>
    <s v="Deal"/>
    <m/>
    <s v="Original Amount [TRY 300], Merchant Amount [EUR 93.36], Customer Amount [USD 110.24], Status [APPROVED], Operation [3DAUTH], UUID [3633604-1458740682-264] [23/03/2016 at 13:44:00]"/>
  </r>
  <r>
    <s v="3633631-1458740711-216"/>
    <s v="Spot"/>
    <s v="3633631-1458740711-216"/>
    <n v="0"/>
    <d v="2016-03-31T00:00:00"/>
    <x v="939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33631-1458740711-216] [23/03/2016 at 13:45:00]"/>
  </r>
  <r>
    <s v="3633586-1458740670-224"/>
    <s v="Spot"/>
    <s v="3633586-1458740670-224"/>
    <n v="0"/>
    <d v="2016-03-31T00:00:00"/>
    <x v="940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3586-1458740670-224] [23/03/2016 at 13:44:00]"/>
  </r>
  <r>
    <s v="3633577-1458740661-199"/>
    <s v="Spot"/>
    <s v="3633577-1458740661-199"/>
    <n v="0"/>
    <d v="2016-03-31T00:00:00"/>
    <x v="941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33577-1458740661-199] [23/03/2016 at 13:44:00]"/>
  </r>
  <r>
    <s v="3633571-1458740657-264"/>
    <s v="Spot"/>
    <s v="3633571-1458740657-264"/>
    <n v="0"/>
    <d v="2016-03-31T00:00:00"/>
    <x v="942"/>
    <s v="264"/>
    <s v="SELL"/>
    <n v="1.1812921890067503"/>
    <x v="0"/>
    <x v="7"/>
    <n v="36.75"/>
    <s v="Deal"/>
    <m/>
    <s v="Original Amount [TRY 100], Merchant Amount [EUR 31.11], Customer Amount [USD 36.75], Status [APPROVED], Operation [3DAUTH], UUID [3633571-1458740657-264] [23/03/2016 at 13:44:00]"/>
  </r>
  <r>
    <s v="3633562-1458740645-199"/>
    <s v="Spot"/>
    <s v="3633562-1458740645-199"/>
    <n v="0"/>
    <d v="2016-03-31T00:00:00"/>
    <x v="943"/>
    <s v="199"/>
    <s v="SELL"/>
    <n v="9.9505620400571466"/>
    <x v="0"/>
    <x v="1"/>
    <n v="3691.36"/>
    <s v="Deal"/>
    <m/>
    <s v="Original Amount [EUR 370.97], Merchant Amount [EUR 370.97], Customer Amount [NOK 3691.36], Status [APPROVED], Operation [DIRECT], UUID [3633562-1458740645-199] [23/03/2016 at 13:44:00]"/>
  </r>
  <r>
    <s v="3633544-1458740601-224"/>
    <s v="Spot"/>
    <s v="3633544-1458740601-224"/>
    <n v="0"/>
    <d v="2016-03-31T00:00:00"/>
    <x v="944"/>
    <s v="224"/>
    <s v="SELL"/>
    <n v="9.9505659505659505"/>
    <x v="0"/>
    <x v="1"/>
    <n v="430.76"/>
    <s v="Deal"/>
    <m/>
    <s v="Original Amount [EUR 43.29], Merchant Amount [EUR 43.29], Customer Amount [NOK 430.76], Status [APPROVED], Operation [DIRECT], UUID [3633544-1458740601-224] [23/03/2016 at 13:43:00]"/>
  </r>
  <r>
    <s v="3633520-1458740583-171"/>
    <s v="Spot"/>
    <s v="3633520-1458740583-171"/>
    <n v="0"/>
    <d v="2016-03-31T00:00:00"/>
    <x v="945"/>
    <s v="171"/>
    <s v="SELL"/>
    <n v="9.9510000000000005"/>
    <x v="0"/>
    <x v="1"/>
    <n v="99.51"/>
    <s v="Deal"/>
    <m/>
    <s v="Original Amount [EUR 10], Merchant Amount [EUR 10], Customer Amount [NOK 99.51], Status [APPROVED], Operation [DIRECT], UUID [3633520-1458740583-171] [23/03/2016 at 13:43:00]"/>
  </r>
  <r>
    <s v="3633517-1458740581-224"/>
    <s v="Spot"/>
    <s v="3633517-1458740581-224"/>
    <n v="0"/>
    <d v="2016-03-31T00:00:00"/>
    <x v="946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517-1458740581-224] [23/03/2016 at 13:43:00]"/>
  </r>
  <r>
    <s v="3633547-1458740614-216"/>
    <s v="Spot"/>
    <s v="3633547-1458740614-216"/>
    <n v="0"/>
    <d v="2016-03-31T00:00:00"/>
    <x v="94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47-1458740614-216] [23/03/2016 at 13:43:00]"/>
  </r>
  <r>
    <s v="3633502-1458740569-187"/>
    <s v="Spot"/>
    <s v="3633502-1458740569-187"/>
    <n v="0"/>
    <d v="2016-03-31T00:00:00"/>
    <x v="948"/>
    <s v="187"/>
    <s v="SELL"/>
    <n v="9.9508506616257097"/>
    <x v="0"/>
    <x v="1"/>
    <n v="105.28"/>
    <s v="Deal"/>
    <m/>
    <s v="Original Amount [EUR 10.58], Merchant Amount [EUR 10.58], Customer Amount [NOK 105.28], Status [APPROVED], Operation [DIRECT], UUID [3633502-1458740569-187] [23/03/2016 at 13:42:00]"/>
  </r>
  <r>
    <s v="3633526-1458740586-216"/>
    <s v="Spot"/>
    <s v="3633526-1458740586-216"/>
    <n v="0"/>
    <d v="2016-03-31T00:00:00"/>
    <x v="94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33526-1458740586-216] [23/03/2016 at 13:43:00]"/>
  </r>
  <r>
    <s v="3633490-1458740554-145"/>
    <s v="Spot"/>
    <s v="3633490-1458740554-145"/>
    <n v="0"/>
    <d v="2016-03-31T00:00:00"/>
    <x v="950"/>
    <s v="145"/>
    <s v="SELL"/>
    <n v="9.9509063444108765"/>
    <x v="0"/>
    <x v="1"/>
    <n v="263.5"/>
    <s v="Deal"/>
    <m/>
    <s v="Original Amount [EUR 26.48], Merchant Amount [EUR 26.48], Customer Amount [NOK 263.5], Status [APPROVED], Operation [DIRECT], UUID [3633490-1458740554-145] [23/03/2016 at 13:42:00]"/>
  </r>
  <r>
    <s v="3633523-1458740585-216"/>
    <s v="Spot"/>
    <s v="3633523-1458740585-216"/>
    <n v="0"/>
    <d v="2016-03-31T00:00:00"/>
    <x v="951"/>
    <s v="216"/>
    <s v="SELL"/>
    <n v="3.3973280554181096"/>
    <x v="0"/>
    <x v="0"/>
    <n v="68.66"/>
    <s v="Deal"/>
    <m/>
    <s v="Original Amount [EUR 20.21], Merchant Amount [EUR 20.21], Customer Amount [TRY 68.66], Status [APPROVED], Operation [3DAUTH], UUID [3633523-1458740585-216] [23/03/2016 at 13:43:00]"/>
  </r>
  <r>
    <s v="3633478-1458740540-216"/>
    <s v="Spot"/>
    <s v="3633478-1458740540-216"/>
    <n v="0"/>
    <d v="2016-03-31T00:00:00"/>
    <x v="952"/>
    <s v="216"/>
    <s v="SELL"/>
    <n v="3.3974276527331186"/>
    <x v="0"/>
    <x v="0"/>
    <n v="105.66"/>
    <s v="Deal"/>
    <m/>
    <s v="Original Amount [EUR 31.1], Merchant Amount [EUR 31.1], Customer Amount [TRY 105.66], Status [WAITING], Operation [3D], UUID [3633478-1458740540-216] [23/03/2016 at 13:42:00]"/>
  </r>
  <r>
    <s v="3633496-1458740559-196"/>
    <s v="Spot"/>
    <s v="3633496-1458740559-196"/>
    <n v="0"/>
    <d v="2016-03-31T00:00:00"/>
    <x v="953"/>
    <s v="196"/>
    <s v="SELL"/>
    <n v="9.9505945402780096"/>
    <x v="0"/>
    <x v="1"/>
    <n v="594.15"/>
    <s v="Deal"/>
    <m/>
    <s v="Original Amount [EUR 59.71], Merchant Amount [EUR 59.71], Customer Amount [NOK 594.15], Status [APPROVED], Operation [3DAUTH], UUID [3633496-1458740559-196] [23/03/2016 at 13:42:00]"/>
  </r>
  <r>
    <s v="3633457-1458740526-224"/>
    <s v="Spot"/>
    <s v="3633457-1458740526-224"/>
    <n v="0"/>
    <d v="2016-03-31T00:00:00"/>
    <x v="95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33457-1458740526-224] [23/03/2016 at 13:42:00]"/>
  </r>
  <r>
    <s v="3633454-1458740526-238"/>
    <s v="Spot"/>
    <s v="3633454-1458740526-238"/>
    <n v="0"/>
    <d v="2016-03-31T00:00:00"/>
    <x v="95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454-1458740526-238] [23/03/2016 at 13:42:00]"/>
  </r>
  <r>
    <s v="3633433-1458740510-216"/>
    <s v="Spot"/>
    <s v="3633433-1458740510-216"/>
    <n v="0"/>
    <d v="2016-03-31T00:00:00"/>
    <x v="956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33-1458740510-216] [23/03/2016 at 13:41:00]"/>
  </r>
  <r>
    <s v="3633427-1458740497-101"/>
    <s v="Spot"/>
    <s v="3633427-1458740497-101"/>
    <n v="0"/>
    <d v="2016-03-31T00:00:00"/>
    <x v="957"/>
    <s v="101"/>
    <s v="SELL"/>
    <n v="3.3919402520616151"/>
    <x v="0"/>
    <x v="0"/>
    <n v="218"/>
    <s v="Deal"/>
    <m/>
    <s v="Original Amount [EUR 64.27], Merchant Amount [EUR 64.27], Customer Amount [TRY 218], Status [WAITING], Operation [3D], UUID [3633427-1458740497-101] [23/03/2016 at 13:41:00]"/>
  </r>
  <r>
    <s v="3633421-1458740494-199"/>
    <s v="Spot"/>
    <s v="3633421-1458740494-199"/>
    <n v="0"/>
    <d v="2016-03-31T00:00:00"/>
    <x v="958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421-1458740494-199] [23/03/2016 at 13:41:00]"/>
  </r>
  <r>
    <s v="3633430-1458740508-172"/>
    <s v="Spot"/>
    <s v="3633430-1458740508-172"/>
    <n v="0"/>
    <d v="2016-03-31T00:00:00"/>
    <x v="959"/>
    <s v="172"/>
    <s v="SELL"/>
    <n v="9.9754838709677411"/>
    <x v="0"/>
    <x v="1"/>
    <n v="541.16999999999996"/>
    <s v="Deal"/>
    <m/>
    <s v="Original Amount [EUR 54.25], Merchant Amount [EUR 54.25], Customer Amount [NOK 541.17], Status [APPROVED], Operation [3DAUTH], UUID [3633430-1458740508-172] [23/03/2016 at 13:41:00]"/>
  </r>
  <r>
    <s v="3633409-1458740480-216"/>
    <s v="Spot"/>
    <s v="3633409-1458740480-216"/>
    <n v="0"/>
    <d v="2016-03-31T00:00:00"/>
    <x v="960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409-1458740480-216] [23/03/2016 at 13:41:00]"/>
  </r>
  <r>
    <s v="3633412-1458740482-264"/>
    <s v="Spot"/>
    <s v="3633412-1458740482-264"/>
    <n v="0"/>
    <d v="2016-03-31T00:00:00"/>
    <x v="961"/>
    <s v="264"/>
    <s v="SELL"/>
    <n v="1.1832797427652735"/>
    <x v="0"/>
    <x v="7"/>
    <n v="3.68"/>
    <s v="Deal"/>
    <m/>
    <s v="Original Amount [TRY 10], Merchant Amount [EUR 3.11], Customer Amount [USD 3.68], Status [APPROVED], Operation [3DAUTH], UUID [3633412-1458740482-264] [23/03/2016 at 13:41:00]"/>
  </r>
  <r>
    <s v="3633400-1458740475-200"/>
    <s v="Spot"/>
    <s v="3633400-1458740475-200"/>
    <n v="0"/>
    <d v="2016-03-31T00:00:00"/>
    <x v="962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33400-1458740475-200] [23/03/2016 at 13:41:00]"/>
  </r>
  <r>
    <s v="3633385-1458740462-216"/>
    <s v="Spot"/>
    <s v="3633385-1458740462-216"/>
    <n v="0"/>
    <d v="2016-03-31T00:00:00"/>
    <x v="963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85-1458740462-216] [23/03/2016 at 13:41:00]"/>
  </r>
  <r>
    <s v="3633379-1458740458-119"/>
    <s v="Spot"/>
    <s v="3633379-1458740458-119"/>
    <n v="0"/>
    <d v="2016-03-31T00:00:00"/>
    <x v="964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3379-1458740458-119] [23/03/2016 at 13:40:00]"/>
  </r>
  <r>
    <s v="3633370-1458740444-216"/>
    <s v="Spot"/>
    <s v="3633370-1458740444-216"/>
    <n v="0"/>
    <d v="2016-03-31T00:00:00"/>
    <x v="965"/>
    <s v="216"/>
    <s v="SELL"/>
    <n v="3.3922829581993574"/>
    <x v="0"/>
    <x v="0"/>
    <n v="42.2"/>
    <s v="Deal"/>
    <m/>
    <s v="Original Amount [EUR 12.44], Merchant Amount [EUR 12.44], Customer Amount [TRY 42.2], Status [WAITING], Operation [3D], UUID [3633370-1458740444-216] [23/03/2016 at 13:40:00]"/>
  </r>
  <r>
    <s v="3633388-1458740465-56"/>
    <s v="Spot"/>
    <s v="3633388-1458740465-56"/>
    <n v="0"/>
    <d v="2016-03-31T00:00:00"/>
    <x v="966"/>
    <s v="56"/>
    <s v="SELL"/>
    <n v="3.3919778699861691"/>
    <x v="0"/>
    <x v="0"/>
    <n v="245.24"/>
    <s v="Deal"/>
    <m/>
    <s v="Original Amount [EUR 72.3], Merchant Amount [EUR 72.3], Customer Amount [TRY 245.24], Status [APPROVED], Operation [3DAUTH], UUID [3633388-1458740465-56] [23/03/2016 at 13:41:00]"/>
  </r>
  <r>
    <s v="3633349-1458740428-199"/>
    <s v="Spot"/>
    <s v="3633349-1458740428-199"/>
    <n v="0"/>
    <d v="2016-03-31T00:00:00"/>
    <x v="967"/>
    <s v="199"/>
    <s v="SELL"/>
    <n v="9.9759110562075346"/>
    <x v="0"/>
    <x v="1"/>
    <n v="161.51"/>
    <s v="Deal"/>
    <m/>
    <s v="Original Amount [EUR 16.19], Merchant Amount [EUR 16.19], Customer Amount [NOK 161.51], Status [APPROVED], Operation [DIRECT], UUID [3633349-1458740428-199] [23/03/2016 at 13:40:00]"/>
  </r>
  <r>
    <s v="3633391-1458740467-216"/>
    <s v="Spot"/>
    <s v="3633391-1458740467-216"/>
    <n v="0"/>
    <d v="2016-03-31T00:00:00"/>
    <x v="96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33391-1458740467-216] [23/03/2016 at 13:41:00]"/>
  </r>
  <r>
    <s v="3633343-1458740420-124"/>
    <s v="Spot"/>
    <s v="3633343-1458740420-124"/>
    <n v="0"/>
    <d v="2016-03-31T00:00:00"/>
    <x v="969"/>
    <s v="124"/>
    <s v="SELL"/>
    <n v="9.9754485363550529"/>
    <x v="0"/>
    <x v="1"/>
    <n v="105.64"/>
    <s v="Deal"/>
    <m/>
    <s v="Original Amount [EUR 10.59], Merchant Amount [EUR 10.59], Customer Amount [NOK 105.64], Status [APPROVED], Operation [DIRECT], UUID [3633343-1458740420-124] [23/03/2016 at 13:40:00]"/>
  </r>
  <r>
    <s v="3633319-1458740405-126"/>
    <s v="Spot"/>
    <s v="3633319-1458740405-126"/>
    <n v="0"/>
    <d v="2016-03-31T00:00:00"/>
    <x v="970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3319-1458740405-126] [23/03/2016 at 13:40:00]"/>
  </r>
  <r>
    <s v="3633397-1458740472-107"/>
    <s v="Spot"/>
    <s v="3633397-1458740472-107"/>
    <n v="0"/>
    <d v="2016-03-31T00:00:00"/>
    <x v="971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33397-1458740472-107] [23/03/2016 at 13:41:00]"/>
  </r>
  <r>
    <s v="3633307-1458740386-203"/>
    <s v="Spot"/>
    <s v="3633307-1458740386-203"/>
    <n v="0"/>
    <d v="2016-03-31T00:00:00"/>
    <x v="97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33307-1458740386-203] [23/03/2016 at 13:39:00]"/>
  </r>
  <r>
    <s v="3633292-1458740362-224"/>
    <s v="Spot"/>
    <s v="3633292-1458740362-224"/>
    <n v="0"/>
    <d v="2016-03-31T00:00:00"/>
    <x v="97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33292-1458740362-224] [23/03/2016 at 13:39:00]"/>
  </r>
  <r>
    <s v="3633277-1458740346-224"/>
    <s v="Spot"/>
    <s v="3633277-1458740346-224"/>
    <n v="0"/>
    <d v="2016-03-31T00:00:00"/>
    <x v="974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33277-1458740346-224] [23/03/2016 at 13:39:00]"/>
  </r>
  <r>
    <s v="3633256-1458740319-238"/>
    <s v="Spot"/>
    <s v="3633256-1458740319-238"/>
    <n v="0"/>
    <d v="2016-03-31T00:00:00"/>
    <x v="975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33256-1458740319-238] [23/03/2016 at 13:38:00]"/>
  </r>
  <r>
    <s v="3633253-1458740313-224"/>
    <s v="Spot"/>
    <s v="3633253-1458740313-224"/>
    <n v="0"/>
    <d v="2016-03-31T00:00:00"/>
    <x v="976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3253-1458740313-224] [23/03/2016 at 13:38:00]"/>
  </r>
  <r>
    <s v="3633244-1458740300-224"/>
    <s v="Spot"/>
    <s v="3633244-1458740300-224"/>
    <n v="0"/>
    <d v="2016-03-31T00:00:00"/>
    <x v="9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3244-1458740300-224] [23/03/2016 at 13:38:00]"/>
  </r>
  <r>
    <s v="3633295-1458740364-101"/>
    <s v="Spot"/>
    <s v="3633295-1458740364-101"/>
    <n v="0"/>
    <d v="2016-03-31T00:00:00"/>
    <x v="978"/>
    <s v="101"/>
    <s v="SELL"/>
    <n v="3.3972363998506161"/>
    <x v="0"/>
    <x v="0"/>
    <n v="272.89999999999998"/>
    <s v="Deal"/>
    <m/>
    <s v="Original Amount [EUR 80.33], Merchant Amount [EUR 80.33], Customer Amount [TRY 272.9], Status [APPROVED], Operation [3DAUTH], UUID [3633295-1458740364-101] [23/03/2016 at 13:39:00]"/>
  </r>
  <r>
    <s v="3633229-1458740284-199"/>
    <s v="Spot"/>
    <s v="3633229-1458740284-199"/>
    <n v="0"/>
    <d v="2016-03-31T00:00:00"/>
    <x v="979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229-1458740284-199] [23/03/2016 at 13:38:00]"/>
  </r>
  <r>
    <s v="3633217-1458740266-101"/>
    <s v="Spot"/>
    <s v="3633217-1458740266-101"/>
    <n v="0"/>
    <d v="2016-03-31T00:00:00"/>
    <x v="980"/>
    <s v="101"/>
    <s v="SELL"/>
    <n v="3.397230434106115"/>
    <x v="0"/>
    <x v="0"/>
    <n v="218.34"/>
    <s v="Deal"/>
    <m/>
    <s v="Original Amount [EUR 64.27], Merchant Amount [EUR 64.27], Customer Amount [TRY 218.34], Status [WAITING], Operation [3D], UUID [3633217-1458740266-101] [23/03/2016 at 13:37:00]"/>
  </r>
  <r>
    <s v="3633226-1458740283-216"/>
    <s v="Spot"/>
    <s v="3633226-1458740283-216"/>
    <n v="0"/>
    <d v="2016-03-31T00:00:00"/>
    <x v="981"/>
    <s v="216"/>
    <s v="SELL"/>
    <n v="3.3973349485160509"/>
    <x v="0"/>
    <x v="0"/>
    <n v="56.09"/>
    <s v="Deal"/>
    <m/>
    <s v="Original Amount [EUR 16.51], Merchant Amount [EUR 16.51], Customer Amount [TRY 56.09], Status [APPROVED], Operation [3DAUTH], UUID [3633226-1458740283-216] [23/03/2016 at 13:38:00]"/>
  </r>
  <r>
    <s v="3633196-1458740241-224"/>
    <s v="Spot"/>
    <s v="3633196-1458740241-224"/>
    <n v="0"/>
    <d v="2016-03-31T00:00:00"/>
    <x v="982"/>
    <s v="224"/>
    <s v="SELL"/>
    <n v="133.03767286599907"/>
    <x v="0"/>
    <x v="3"/>
    <n v="2789.8"/>
    <s v="Deal"/>
    <m/>
    <s v="Original Amount [EUR 20.97], Merchant Amount [EUR 20.97], Customer Amount [JPY 2789.8], Status [APPROVED], Operation [DIRECT], UUID [3633196-1458740241-224] [23/03/2016 at 13:37:00]"/>
  </r>
  <r>
    <s v="3633211-1458740262-56"/>
    <s v="Spot"/>
    <s v="3633211-1458740262-56"/>
    <n v="0"/>
    <d v="2016-03-31T00:00:00"/>
    <x v="983"/>
    <s v="56"/>
    <s v="SELL"/>
    <n v="3.3974478680361031"/>
    <x v="0"/>
    <x v="0"/>
    <n v="109.16"/>
    <s v="Deal"/>
    <m/>
    <s v="Original Amount [EUR 32.13], Merchant Amount [EUR 32.13], Customer Amount [TRY 109.16], Status [APPROVED], Operation [3DAUTH], UUID [3633211-1458740262-56] [23/03/2016 at 13:37:00]"/>
  </r>
  <r>
    <s v="3633181-1458740226-224"/>
    <s v="Spot"/>
    <s v="3633181-1458740226-224"/>
    <n v="0"/>
    <d v="2016-03-31T00:00:00"/>
    <x v="984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33181-1458740226-224] [23/03/2016 at 13:37:00]"/>
  </r>
  <r>
    <s v="3633175-1458740217-126"/>
    <s v="Spot"/>
    <s v="3633175-1458740217-126"/>
    <n v="0"/>
    <d v="2016-03-31T00:00:00"/>
    <x v="985"/>
    <s v="126"/>
    <s v="SELL"/>
    <n v="9.9756097560975618"/>
    <x v="0"/>
    <x v="1"/>
    <n v="204.5"/>
    <s v="Deal"/>
    <m/>
    <s v="Original Amount [EUR 20.5], Merchant Amount [EUR 20.5], Customer Amount [NOK 204.5], Status [APPROVED], Operation [DIRECT], UUID [3633175-1458740217-126] [23/03/2016 at 13:36:00]"/>
  </r>
  <r>
    <s v="3633178-1458740223-145"/>
    <s v="Spot"/>
    <s v="3633178-1458740223-145"/>
    <n v="0"/>
    <d v="2016-03-31T00:00:00"/>
    <x v="986"/>
    <s v="145"/>
    <s v="SELL"/>
    <n v="1.5515222482435598"/>
    <x v="0"/>
    <x v="2"/>
    <n v="26.5"/>
    <s v="Deal"/>
    <m/>
    <s v="Original Amount [EUR 17.08], Merchant Amount [EUR 17.08], Customer Amount [CAD 26.5], Status [APPROVED], Operation [3DAUTH], UUID [3633178-1458740223-145] [23/03/2016 at 13:37:00]"/>
  </r>
  <r>
    <s v="3633163-1458740212-224"/>
    <s v="Spot"/>
    <s v="3633163-1458740212-224"/>
    <n v="0"/>
    <d v="2016-03-31T00:00:00"/>
    <x v="987"/>
    <s v="224"/>
    <s v="SELL"/>
    <n v="133.0376461988304"/>
    <x v="0"/>
    <x v="3"/>
    <n v="3639.91"/>
    <s v="Deal"/>
    <m/>
    <s v="Original Amount [EUR 27.36], Merchant Amount [EUR 27.36], Customer Amount [JPY 3639.91], Status [APPROVED], Operation [DIRECT], UUID [3633163-1458740212-224] [23/03/2016 at 13:36:00]"/>
  </r>
  <r>
    <s v="3633157-1458740209-187"/>
    <s v="Spot"/>
    <s v="3633157-1458740209-187"/>
    <n v="0"/>
    <d v="2016-03-31T00:00:00"/>
    <x v="988"/>
    <s v="187"/>
    <s v="SELL"/>
    <n v="9.9754253308128558"/>
    <x v="0"/>
    <x v="1"/>
    <n v="316.62"/>
    <s v="Deal"/>
    <m/>
    <s v="Original Amount [EUR 31.74], Merchant Amount [EUR 31.74], Customer Amount [NOK 316.62], Status [APPROVED], Operation [DIRECT], UUID [3633157-1458740209-187] [23/03/2016 at 13:36:00]"/>
  </r>
  <r>
    <s v="3633205-1458740255-216"/>
    <s v="Spot"/>
    <s v="3633205-1458740255-216"/>
    <n v="0"/>
    <d v="2016-03-31T00:00:00"/>
    <x v="989"/>
    <s v="216"/>
    <s v="SELL"/>
    <n v="3.3975387907972174"/>
    <x v="0"/>
    <x v="0"/>
    <n v="63.5"/>
    <s v="Deal"/>
    <m/>
    <s v="Original Amount [EUR 18.69], Merchant Amount [EUR 18.69], Customer Amount [TRY 63.5], Status [APPROVED], Operation [3DAUTH], UUID [3633205-1458740255-216] [23/03/2016 at 13:37:00]"/>
  </r>
  <r>
    <s v="3633136-1458740162-145"/>
    <s v="Spot"/>
    <s v="3633136-1458740162-145"/>
    <n v="0"/>
    <d v="2016-03-31T00:00:00"/>
    <x v="990"/>
    <s v="145"/>
    <s v="SELL"/>
    <n v="1.5515727871250915"/>
    <x v="0"/>
    <x v="2"/>
    <n v="21.21"/>
    <s v="Deal"/>
    <m/>
    <s v="Original Amount [EUR 13.67], Merchant Amount [EUR 13.67], Customer Amount [CAD 21.21], Status [WAITING], Operation [3D], UUID [3633136-1458740162-145] [23/03/2016 at 13:36:00]"/>
  </r>
  <r>
    <s v="3633124-1458740145-199"/>
    <s v="Spot"/>
    <s v="3633124-1458740145-199"/>
    <n v="0"/>
    <d v="2016-03-31T00:00:00"/>
    <x v="991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3124-1458740145-199] [23/03/2016 at 13:35:00]"/>
  </r>
  <r>
    <s v="3633121-1458740145-241"/>
    <s v="Spot"/>
    <s v="3633121-1458740145-241"/>
    <n v="0"/>
    <d v="2016-03-31T00:00:00"/>
    <x v="992"/>
    <s v="241"/>
    <s v="SELL"/>
    <n v="9.9754285714285711"/>
    <x v="0"/>
    <x v="1"/>
    <n v="349.14"/>
    <s v="Deal"/>
    <m/>
    <s v="Original Amount [EUR 35], Merchant Amount [EUR 35], Customer Amount [NOK 349.14], Status [APPROVED], Operation [DIRECT], UUID [3633121-1458740145-241] [23/03/2016 at 13:35:00]"/>
  </r>
  <r>
    <s v="3633118-1458740138-82"/>
    <s v="Spot"/>
    <s v="3633118-1458740138-82"/>
    <n v="0"/>
    <d v="2016-03-31T00:00:00"/>
    <x v="993"/>
    <s v="82"/>
    <s v="SELL"/>
    <n v="0.83806818181818188"/>
    <x v="0"/>
    <x v="4"/>
    <n v="2.95"/>
    <s v="Deal"/>
    <m/>
    <s v="Original Amount [GBP 2.95], Merchant Amount [EUR 3.52], Customer Amount [GBP 2.95], Status [APPROVED], Operation [DIRECT], UUID [3633118-1458740138-82] [23/03/2016 at 13:35:00]"/>
  </r>
  <r>
    <s v="3633109-1458740127-126"/>
    <s v="Spot"/>
    <s v="3633109-1458740127-126"/>
    <n v="0"/>
    <d v="2016-03-31T00:00:00"/>
    <x v="994"/>
    <s v="126"/>
    <s v="SELL"/>
    <n v="9.9754146341463414"/>
    <x v="0"/>
    <x v="1"/>
    <n v="1022.48"/>
    <s v="Deal"/>
    <m/>
    <s v="Original Amount [EUR 102.5], Merchant Amount [EUR 102.5], Customer Amount [NOK 1022.48], Status [APPROVED], Operation [DIRECT], UUID [3633109-1458740127-126] [23/03/2016 at 13:35:00]"/>
  </r>
  <r>
    <s v="3633103-1458740119-199"/>
    <s v="Spot"/>
    <s v="3633103-1458740119-199"/>
    <n v="0"/>
    <d v="2016-03-31T00:00:00"/>
    <x v="995"/>
    <s v="199"/>
    <s v="SELL"/>
    <n v="9.9754525928198827"/>
    <x v="0"/>
    <x v="1"/>
    <n v="650.20000000000005"/>
    <s v="Deal"/>
    <m/>
    <s v="Original Amount [EUR 65.18], Merchant Amount [EUR 65.18], Customer Amount [NOK 650.2], Status [APPROVED], Operation [DIRECT], UUID [3633103-1458740119-199] [23/03/2016 at 13:35:00]"/>
  </r>
  <r>
    <s v="3633094-1458740115-199"/>
    <s v="Spot"/>
    <s v="3633094-1458740115-199"/>
    <n v="0"/>
    <d v="2016-03-31T00:00:00"/>
    <x v="996"/>
    <s v="199"/>
    <s v="SELL"/>
    <n v="9.9758364312267656"/>
    <x v="0"/>
    <x v="1"/>
    <n v="107.34"/>
    <s v="Deal"/>
    <m/>
    <s v="Original Amount [EUR 10.76], Merchant Amount [EUR 10.76], Customer Amount [NOK 107.34], Status [APPROVED], Operation [DIRECT], UUID [3633094-1458740115-199] [23/03/2016 at 13:35:00]"/>
  </r>
  <r>
    <s v="3633130-1458740154-203"/>
    <s v="Spot"/>
    <s v="3633130-1458740154-203"/>
    <n v="0"/>
    <d v="2016-03-31T00:00:00"/>
    <x v="997"/>
    <s v="203"/>
    <s v="SELL"/>
    <n v="3.3879569892473116"/>
    <x v="0"/>
    <x v="0"/>
    <n v="157.54"/>
    <s v="Deal"/>
    <m/>
    <s v="Original Amount [EUR 46.5], Merchant Amount [EUR 46.5], Customer Amount [TRY 157.54], Status [APPROVED], Operation [3DAUTH], UUID [3633130-1458740154-203] [23/03/2016 at 13:35:00]"/>
  </r>
  <r>
    <s v="3633082-1458740100-238"/>
    <s v="Spot"/>
    <s v="3633082-1458740100-238"/>
    <n v="0"/>
    <d v="2016-03-31T00:00:00"/>
    <x v="99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33082-1458740100-238] [23/03/2016 at 13:35:00]"/>
  </r>
  <r>
    <s v="3633106-1458740125-203"/>
    <s v="Spot"/>
    <s v="3633106-1458740125-203"/>
    <n v="0"/>
    <d v="2016-03-31T00:00:00"/>
    <x v="999"/>
    <s v="203"/>
    <s v="SELL"/>
    <n v="3.3878557874762807"/>
    <x v="0"/>
    <x v="0"/>
    <n v="89.27"/>
    <s v="Deal"/>
    <m/>
    <s v="Original Amount [EUR 26.35], Merchant Amount [EUR 26.35], Customer Amount [TRY 89.27], Status [APPROVED], Operation [3DAUTH], UUID [3633106-1458740125-203] [23/03/2016 at 13:35:00]"/>
  </r>
  <r>
    <s v="3633097-1458740118-216"/>
    <s v="Spot"/>
    <s v="3633097-1458740118-216"/>
    <n v="0"/>
    <d v="2016-03-31T00:00:00"/>
    <x v="1000"/>
    <s v="216"/>
    <s v="SELL"/>
    <n v="3.387836970474968"/>
    <x v="0"/>
    <x v="0"/>
    <n v="211.13"/>
    <s v="Deal"/>
    <m/>
    <s v="Original Amount [EUR 62.32], Merchant Amount [EUR 62.32], Customer Amount [TRY 211.13], Status [APPROVED], Operation [3DAUTH], UUID [3633097-1458740118-216] [23/03/2016 at 13:35:00]"/>
  </r>
  <r>
    <s v="3633061-1458740087-224"/>
    <s v="Spot"/>
    <s v="3633061-1458740087-224"/>
    <n v="0"/>
    <d v="2016-03-31T00:00:00"/>
    <x v="10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3061-1458740087-224] [23/03/2016 at 13:34:00]"/>
  </r>
  <r>
    <s v="3633058-1458740083-199"/>
    <s v="Spot"/>
    <s v="3633058-1458740083-199"/>
    <n v="0"/>
    <d v="2016-03-31T00:00:00"/>
    <x v="100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3058-1458740083-199] [23/03/2016 at 13:34:00]"/>
  </r>
  <r>
    <s v="3633115-1458740134-196"/>
    <s v="Spot"/>
    <s v="3633115-1458740134-196"/>
    <n v="0"/>
    <d v="2016-03-31T00:00:00"/>
    <x v="1003"/>
    <s v="196"/>
    <s v="SELL"/>
    <n v="9.9755525787006025"/>
    <x v="0"/>
    <x v="1"/>
    <n v="297.87"/>
    <s v="Deal"/>
    <m/>
    <s v="Original Amount [EUR 29.86], Merchant Amount [EUR 29.86], Customer Amount [NOK 297.87], Status [APPROVED], Operation [3DAUTH], UUID [3633115-1458740134-196] [23/03/2016 at 13:35:00]"/>
  </r>
  <r>
    <s v="3633040-1458740077-224"/>
    <s v="Spot"/>
    <s v="3633040-1458740077-224"/>
    <n v="0"/>
    <d v="2016-03-31T00:00:00"/>
    <x v="1004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33040-1458740077-224] [23/03/2016 at 13:34:00]"/>
  </r>
  <r>
    <s v="3633034-1458740073-224"/>
    <s v="Spot"/>
    <s v="3633034-1458740073-224"/>
    <n v="0"/>
    <d v="2016-03-31T00:00:00"/>
    <x v="1005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3034-1458740073-224] [23/03/2016 at 13:34:00]"/>
  </r>
  <r>
    <s v="3633031-1458740072-171"/>
    <s v="Spot"/>
    <s v="3633031-1458740072-171"/>
    <n v="0"/>
    <d v="2016-03-31T00:00:00"/>
    <x v="1006"/>
    <s v="171"/>
    <s v="SELL"/>
    <n v="9.9760000000000009"/>
    <x v="0"/>
    <x v="1"/>
    <n v="99.76"/>
    <s v="Deal"/>
    <m/>
    <s v="Original Amount [EUR 10], Merchant Amount [EUR 10], Customer Amount [NOK 99.76], Status [APPROVED], Operation [DIRECT], UUID [3633031-1458740072-171] [23/03/2016 at 13:34:00]"/>
  </r>
  <r>
    <s v="3633067-1458740091-216"/>
    <s v="Spot"/>
    <s v="3633067-1458740091-216"/>
    <n v="0"/>
    <d v="2016-03-31T00:00:00"/>
    <x v="1007"/>
    <s v="216"/>
    <s v="SELL"/>
    <n v="3.3884430176565004"/>
    <x v="0"/>
    <x v="0"/>
    <n v="42.22"/>
    <s v="Deal"/>
    <m/>
    <s v="Original Amount [EUR 12.46], Merchant Amount [EUR 12.46], Customer Amount [TRY 42.22], Status [APPROVED], Operation [3DAUTH], UUID [3633067-1458740091-216] [23/03/2016 at 13:34:00]"/>
  </r>
  <r>
    <s v="3633064-1458740088-56"/>
    <s v="Spot"/>
    <s v="3633064-1458740088-56"/>
    <n v="0"/>
    <d v="2016-03-31T00:00:00"/>
    <x v="1008"/>
    <s v="56"/>
    <s v="SELL"/>
    <n v="3.3879668049792531"/>
    <x v="0"/>
    <x v="0"/>
    <n v="48.99"/>
    <s v="Deal"/>
    <m/>
    <s v="Original Amount [EUR 14.46], Merchant Amount [EUR 14.46], Customer Amount [TRY 48.99], Status [APPROVED], Operation [3DAUTH], UUID [3633064-1458740088-56] [23/03/2016 at 13:34:00]"/>
  </r>
  <r>
    <s v="3633142-1458740165-101"/>
    <s v="Spot"/>
    <s v="3633142-1458740165-101"/>
    <n v="0"/>
    <d v="2016-03-31T00:00:00"/>
    <x v="1009"/>
    <s v="101"/>
    <s v="SELL"/>
    <n v="3.3885819521178635"/>
    <x v="0"/>
    <x v="0"/>
    <n v="36.799999999999997"/>
    <s v="Deal"/>
    <m/>
    <s v="Original Amount [EUR 10.86], Merchant Amount [EUR 10.86], Customer Amount [TRY 36.8], Status [APPROVED], Operation [3DAUTH], UUID [3633142-1458740165-101] [23/03/2016 at 13:36:00]"/>
  </r>
  <r>
    <s v="3632995-1458740015-224"/>
    <s v="Spot"/>
    <s v="3632995-1458740015-224"/>
    <n v="0"/>
    <d v="2016-03-31T00:00:00"/>
    <x v="1010"/>
    <s v="224"/>
    <s v="SELL"/>
    <n v="9.9753618724976896"/>
    <x v="0"/>
    <x v="1"/>
    <n v="323.89999999999998"/>
    <s v="Deal"/>
    <m/>
    <s v="Original Amount [EUR 32.47], Merchant Amount [EUR 32.47], Customer Amount [NOK 323.9], Status [APPROVED], Operation [DIRECT], UUID [3632995-1458740015-224] [23/03/2016 at 13:33:00]"/>
  </r>
  <r>
    <s v="3633019-1458740065-56"/>
    <s v="Spot"/>
    <s v="3633019-1458740065-56"/>
    <n v="0"/>
    <d v="2016-03-31T00:00:00"/>
    <x v="1011"/>
    <s v="56"/>
    <s v="SELL"/>
    <n v="3.3881010031131096"/>
    <x v="0"/>
    <x v="0"/>
    <n v="97.95"/>
    <s v="Deal"/>
    <m/>
    <s v="Original Amount [EUR 28.91], Merchant Amount [EUR 28.91], Customer Amount [TRY 97.95], Status [APPROVED], Operation [3DAUTH], UUID [3633019-1458740065-56] [23/03/2016 at 13:34:00]"/>
  </r>
  <r>
    <s v="3632953-1458739981-199"/>
    <s v="Spot"/>
    <s v="3632953-1458739981-199"/>
    <n v="0"/>
    <d v="2016-03-31T00:00:00"/>
    <x v="1012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2953-1458739981-199] [23/03/2016 at 13:33:00]"/>
  </r>
  <r>
    <s v="3632950-1458739981-199"/>
    <s v="Spot"/>
    <s v="3632950-1458739981-199"/>
    <n v="0"/>
    <d v="2016-03-31T00:00:00"/>
    <x v="1013"/>
    <s v="199"/>
    <s v="SELL"/>
    <n v="9.9753927344133526"/>
    <x v="0"/>
    <x v="1"/>
    <n v="1625.59"/>
    <s v="Deal"/>
    <m/>
    <s v="Original Amount [EUR 162.96], Merchant Amount [EUR 162.96], Customer Amount [NOK 1625.59], Status [APPROVED], Operation [DIRECT], UUID [3632950-1458739981-199] [23/03/2016 at 13:33:00]"/>
  </r>
  <r>
    <s v="3632932-1458739960-238"/>
    <s v="Spot"/>
    <s v="3632932-1458739960-238"/>
    <n v="0"/>
    <d v="2016-03-31T00:00:00"/>
    <x v="1014"/>
    <s v="238"/>
    <s v="SELL"/>
    <n v="1.5588235294117647"/>
    <x v="0"/>
    <x v="5"/>
    <n v="2.12"/>
    <s v="Deal"/>
    <m/>
    <s v="Original Amount [EUR 1.36], Merchant Amount [EUR 1.36], Customer Amount [AUD 2.12], Status [APPROVED], Operation [DIRECT], UUID [3632932-1458739960-238] [23/03/2016 at 13:32:00]"/>
  </r>
  <r>
    <s v="3632926-1458739957-119"/>
    <s v="Spot"/>
    <s v="3632926-1458739957-119"/>
    <n v="0"/>
    <d v="2016-03-31T00:00:00"/>
    <x v="1015"/>
    <s v="119"/>
    <s v="SELL"/>
    <n v="9.9754000000000005"/>
    <x v="0"/>
    <x v="1"/>
    <n v="498.77"/>
    <s v="Deal"/>
    <m/>
    <s v="Original Amount [EUR 50], Merchant Amount [EUR 50], Customer Amount [NOK 498.77], Status [APPROVED], Operation [DIRECT], UUID [3632926-1458739957-119] [23/03/2016 at 13:32:00]"/>
  </r>
  <r>
    <s v="3632923-1458739957-107"/>
    <s v="Spot"/>
    <s v="3632923-1458739957-107"/>
    <n v="0"/>
    <d v="2016-03-31T00:00:00"/>
    <x v="1016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2923-1458739957-107] [23/03/2016 at 13:32:00]"/>
  </r>
  <r>
    <s v="3632920-1458739954-199"/>
    <s v="Spot"/>
    <s v="3632920-1458739954-199"/>
    <n v="0"/>
    <d v="2016-03-31T00:00:00"/>
    <x v="1017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920-1458739954-199] [23/03/2016 at 13:32:00]"/>
  </r>
  <r>
    <s v="3632947-1458739980-216"/>
    <s v="Spot"/>
    <s v="3632947-1458739980-216"/>
    <n v="0"/>
    <d v="2016-03-31T00:00:00"/>
    <x v="1018"/>
    <s v="216"/>
    <s v="SELL"/>
    <n v="3.3879974326059048"/>
    <x v="0"/>
    <x v="0"/>
    <n v="105.57"/>
    <s v="Deal"/>
    <m/>
    <s v="Original Amount [EUR 31.16], Merchant Amount [EUR 31.16], Customer Amount [TRY 105.57], Status [APPROVED], Operation [3DAUTH], UUID [3632947-1458739980-216] [23/03/2016 at 13:33:00]"/>
  </r>
  <r>
    <s v="3632902-1458739928-171"/>
    <s v="Spot"/>
    <s v="3632902-1458739928-171"/>
    <n v="0"/>
    <d v="2016-03-31T00:00:00"/>
    <x v="1019"/>
    <s v="171"/>
    <s v="SELL"/>
    <n v="9.9754000000000005"/>
    <x v="0"/>
    <x v="1"/>
    <n v="997.54"/>
    <s v="Deal"/>
    <m/>
    <s v="Original Amount [EUR 100], Merchant Amount [EUR 100], Customer Amount [NOK 997.54], Status [APPROVED], Operation [DIRECT], UUID [3632902-1458739928-171] [23/03/2016 at 13:32:00]"/>
  </r>
  <r>
    <s v="3632935-1458739964-216"/>
    <s v="Spot"/>
    <s v="3632935-1458739964-216"/>
    <n v="0"/>
    <d v="2016-03-31T00:00:00"/>
    <x v="1020"/>
    <s v="216"/>
    <s v="SELL"/>
    <n v="3.3878904578519466"/>
    <x v="0"/>
    <x v="0"/>
    <n v="158.35"/>
    <s v="Deal"/>
    <m/>
    <s v="Original Amount [EUR 46.74], Merchant Amount [EUR 46.74], Customer Amount [TRY 158.35], Status [APPROVED], Operation [3DAUTH], UUID [3632935-1458739964-216] [23/03/2016 at 13:32:00]"/>
  </r>
  <r>
    <s v="3632893-1458739920-119"/>
    <s v="Spot"/>
    <s v="3632893-1458739920-119"/>
    <n v="0"/>
    <d v="2016-03-31T00:00:00"/>
    <x v="1021"/>
    <s v="119"/>
    <s v="SELL"/>
    <n v="9.9753499999999988"/>
    <x v="0"/>
    <x v="1"/>
    <n v="1995.07"/>
    <s v="Deal"/>
    <m/>
    <s v="Original Amount [EUR 200], Merchant Amount [EUR 200], Customer Amount [NOK 1995.07], Status [APPROVED], Operation [DIRECT], UUID [3632893-1458739920-119] [23/03/2016 at 13:32:00]"/>
  </r>
  <r>
    <s v="3632887-1458739914-126"/>
    <s v="Spot"/>
    <s v="3632887-1458739914-126"/>
    <n v="0"/>
    <d v="2016-03-31T00:00:00"/>
    <x v="1022"/>
    <s v="126"/>
    <s v="SELL"/>
    <n v="9.9756097560975618"/>
    <x v="0"/>
    <x v="1"/>
    <n v="102.25"/>
    <s v="Deal"/>
    <m/>
    <s v="Original Amount [EUR 10.25], Merchant Amount [EUR 10.25], Customer Amount [NOK 102.25], Status [APPROVED], Operation [DIRECT], UUID [3632887-1458739914-126] [23/03/2016 at 13:31:00]"/>
  </r>
  <r>
    <s v="3632878-1458739909-224"/>
    <s v="Spot"/>
    <s v="3632878-1458739909-224"/>
    <n v="0"/>
    <d v="2016-03-31T00:00:00"/>
    <x v="1023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32878-1458739909-224] [23/03/2016 at 13:31:00]"/>
  </r>
  <r>
    <s v="3632854-1458739895-187"/>
    <s v="Spot"/>
    <s v="3632854-1458739895-187"/>
    <n v="0"/>
    <d v="2016-03-31T00:00:00"/>
    <x v="1024"/>
    <s v="187"/>
    <s v="SELL"/>
    <n v="9.9754253308128558"/>
    <x v="0"/>
    <x v="1"/>
    <n v="105.54"/>
    <s v="Deal"/>
    <m/>
    <s v="Original Amount [EUR 10.58], Merchant Amount [EUR 10.58], Customer Amount [NOK 105.54], Status [APPROVED], Operation [DIRECT], UUID [3632854-1458739895-187] [23/03/2016 at 13:31:00]"/>
  </r>
  <r>
    <s v="3632911-1458739935-264"/>
    <s v="Spot"/>
    <s v="3632911-1458739935-264"/>
    <n v="0"/>
    <d v="2016-03-31T00:00:00"/>
    <x v="1025"/>
    <s v="264"/>
    <s v="SELL"/>
    <n v="3.3911845730027546"/>
    <x v="0"/>
    <x v="0"/>
    <n v="36.93"/>
    <s v="Deal"/>
    <m/>
    <s v="Original Amount [TRY 35], Merchant Amount [EUR 10.89], Customer Amount [TRY 36.93], Status [APPROVED], Operation [3DAUTH], UUID [3632911-1458739935-264] [23/03/2016 at 13:32:00]"/>
  </r>
  <r>
    <s v="3632875-1458739905-216"/>
    <s v="Spot"/>
    <s v="3632875-1458739905-216"/>
    <n v="0"/>
    <d v="2016-03-31T00:00:00"/>
    <x v="1026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875-1458739905-216] [23/03/2016 at 13:31:00]"/>
  </r>
  <r>
    <s v="3632890-1458739918-101"/>
    <s v="Spot"/>
    <s v="3632890-1458739918-101"/>
    <n v="0"/>
    <d v="2016-03-31T00:00:00"/>
    <x v="1027"/>
    <s v="101"/>
    <s v="SELL"/>
    <n v="3.3879668049792526"/>
    <x v="0"/>
    <x v="0"/>
    <n v="130.63999999999999"/>
    <s v="Deal"/>
    <m/>
    <s v="Original Amount [EUR 38.56], Merchant Amount [EUR 38.56], Customer Amount [TRY 130.64], Status [APPROVED], Operation [3DAUTH], UUID [3632890-1458739918-101] [23/03/2016 at 13:31:00]"/>
  </r>
  <r>
    <s v="3632842-1458739885-216"/>
    <s v="Spot"/>
    <s v="3632842-1458739885-216"/>
    <n v="0"/>
    <d v="2016-03-31T00:00:00"/>
    <x v="1028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842-1458739885-216] [23/03/2016 at 13:31:00]"/>
  </r>
  <r>
    <s v="3632785-1458739858-161"/>
    <s v="Spot"/>
    <s v="3632785-1458739858-161"/>
    <n v="0"/>
    <d v="2016-03-31T00:00:00"/>
    <x v="1029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85-1458739858-161] [23/03/2016 at 13:30:00]"/>
  </r>
  <r>
    <s v="3632788-1458739859-199"/>
    <s v="Spot"/>
    <s v="3632788-1458739859-199"/>
    <n v="0"/>
    <d v="2016-03-31T00:00:00"/>
    <x v="1030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2788-1458739859-199] [23/03/2016 at 13:30:00]"/>
  </r>
  <r>
    <s v="3632773-1458739854-203"/>
    <s v="Spot"/>
    <s v="3632773-1458739854-203"/>
    <n v="0"/>
    <d v="2016-03-31T00:00:00"/>
    <x v="1031"/>
    <s v="203"/>
    <s v="SELL"/>
    <n v="3.3880645161290324"/>
    <x v="0"/>
    <x v="0"/>
    <n v="105.03"/>
    <s v="Deal"/>
    <m/>
    <s v="Original Amount [EUR 31], Merchant Amount [EUR 31], Customer Amount [TRY 105.03], Status [WAITING], Operation [3D], UUID [3632773-1458739854-203] [23/03/2016 at 13:30:00]"/>
  </r>
  <r>
    <s v="3632770-1458739852-161"/>
    <s v="Spot"/>
    <s v="3632770-1458739852-161"/>
    <n v="0"/>
    <d v="2016-03-31T00:00:00"/>
    <x v="1032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32770-1458739852-161] [23/03/2016 at 13:30:00]"/>
  </r>
  <r>
    <s v="3632794-1458739864-216"/>
    <s v="Spot"/>
    <s v="3632794-1458739864-216"/>
    <n v="0"/>
    <d v="2016-03-31T00:00:00"/>
    <x v="1033"/>
    <s v="216"/>
    <s v="SELL"/>
    <n v="3.3883183568677793"/>
    <x v="0"/>
    <x v="0"/>
    <n v="52.79"/>
    <s v="Deal"/>
    <m/>
    <s v="Original Amount [EUR 15.58], Merchant Amount [EUR 15.58], Customer Amount [TRY 52.79], Status [APPROVED], Operation [3DAUTH], UUID [3632794-1458739864-216] [23/03/2016 at 13:31:00]"/>
  </r>
  <r>
    <s v="3632734-1458739830-264"/>
    <s v="Spot"/>
    <s v="3632734-1458739830-264"/>
    <n v="0"/>
    <d v="2016-03-31T00:00:00"/>
    <x v="1034"/>
    <s v="264"/>
    <s v="SELL"/>
    <n v="1.1795118818240204"/>
    <x v="0"/>
    <x v="7"/>
    <n v="36.729999999999997"/>
    <s v="Deal"/>
    <m/>
    <s v="Original Amount [TRY 100], Merchant Amount [EUR 31.14], Customer Amount [USD 36.73], Status [APPROVED], Operation [3DAUTH], UUID [3632734-1458739830-264] [23/03/2016 at 13:30:00]"/>
  </r>
  <r>
    <s v="3632719-1458739820-200"/>
    <s v="Spot"/>
    <s v="3632719-1458739820-200"/>
    <n v="0"/>
    <d v="2016-03-31T00:00:00"/>
    <x v="1035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32719-1458739820-200] [23/03/2016 at 13:30:00]"/>
  </r>
  <r>
    <s v="3632761-1458739849-216"/>
    <s v="Spot"/>
    <s v="3632761-1458739849-216"/>
    <n v="0"/>
    <d v="2016-03-31T00:00:00"/>
    <x v="1036"/>
    <s v="216"/>
    <s v="SELL"/>
    <n v="3.388634280476627"/>
    <x v="0"/>
    <x v="0"/>
    <n v="36.97"/>
    <s v="Deal"/>
    <m/>
    <s v="Original Amount [EUR 10.91], Merchant Amount [EUR 10.91], Customer Amount [TRY 36.97], Status [APPROVED], Operation [3DAUTH], UUID [3632761-1458739849-216] [23/03/2016 at 13:30:00]"/>
  </r>
  <r>
    <s v="3632707-1458739811-196"/>
    <s v="Spot"/>
    <s v="3632707-1458739811-196"/>
    <n v="0"/>
    <d v="2016-03-31T00:00:00"/>
    <x v="1037"/>
    <s v="196"/>
    <s v="SELL"/>
    <n v="9.9755525787006025"/>
    <x v="0"/>
    <x v="1"/>
    <n v="297.87"/>
    <s v="Deal"/>
    <m/>
    <s v="Original Amount [EUR 29.86], Merchant Amount [EUR 29.86], Customer Amount [NOK 297.87], Status [WAITING], Operation [3D], UUID [3632707-1458739811-196] [23/03/2016 at 13:30:00]"/>
  </r>
  <r>
    <s v="3632692-1458739800-126"/>
    <s v="Spot"/>
    <s v="3632692-1458739800-126"/>
    <n v="0"/>
    <d v="2016-03-31T00:00:00"/>
    <x v="103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32692-1458739800-126] [23/03/2016 at 13:30:00]"/>
  </r>
  <r>
    <s v="3632695-1458739802-264"/>
    <s v="Spot"/>
    <s v="3632695-1458739802-264"/>
    <n v="0"/>
    <d v="2016-03-31T00:00:00"/>
    <x v="1039"/>
    <s v="264"/>
    <s v="SELL"/>
    <n v="1.1782273603082851"/>
    <x v="0"/>
    <x v="7"/>
    <n v="36.69"/>
    <s v="Deal"/>
    <m/>
    <s v="Original Amount [TRY 100], Merchant Amount [EUR 31.14], Customer Amount [USD 36.69], Status [APPROVED], Operation [3DAUTH], UUID [3632695-1458739802-264] [23/03/2016 at 13:30:00]"/>
  </r>
  <r>
    <s v="3632683-1458739789-224"/>
    <s v="Spot"/>
    <s v="3632683-1458739789-224"/>
    <n v="0"/>
    <d v="2016-03-31T00:00:00"/>
    <x v="1040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2683-1458739789-224] [23/03/2016 at 13:29:00]"/>
  </r>
  <r>
    <s v="3632677-1458739787-224"/>
    <s v="Spot"/>
    <s v="3632677-1458739787-224"/>
    <n v="0"/>
    <d v="2016-03-31T00:00:00"/>
    <x v="104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2677-1458739787-224] [23/03/2016 at 13:29:00]"/>
  </r>
  <r>
    <s v="3632662-1458739776-224"/>
    <s v="Spot"/>
    <s v="3632662-1458739776-224"/>
    <n v="0"/>
    <d v="2016-03-31T00:00:00"/>
    <x v="1042"/>
    <s v="224"/>
    <s v="SELL"/>
    <n v="9.9546042500769953"/>
    <x v="0"/>
    <x v="1"/>
    <n v="1616.13"/>
    <s v="Deal"/>
    <m/>
    <s v="Original Amount [EUR 162.35], Merchant Amount [EUR 162.35], Customer Amount [NOK 1616.13], Status [APPROVED], Operation [DIRECT], UUID [3632662-1458739776-224] [23/03/2016 at 13:29:00]"/>
  </r>
  <r>
    <s v="3632653-1458739772-76"/>
    <s v="Spot"/>
    <s v="3632653-1458739772-76"/>
    <n v="0"/>
    <d v="2016-03-31T00:00:00"/>
    <x v="1043"/>
    <s v="76"/>
    <s v="BUY"/>
    <n v="0"/>
    <x v="0"/>
    <x v="7"/>
    <n v="0.01"/>
    <s v="Deal"/>
    <m/>
    <s v="Original Amount [USD 0.01], Merchant Amount [EUR 0], Customer Amount [USD 0.01], Status [APPROVED], Operation [REFUND], UUID [3632653-1458739772-76] [23/03/2016 at 13:29:00]"/>
  </r>
  <r>
    <s v="3632830-1458739879-216"/>
    <s v="Spot"/>
    <s v="3632830-1458739879-216"/>
    <n v="0"/>
    <d v="2016-03-31T00:00:00"/>
    <x v="1044"/>
    <s v="216"/>
    <s v="SELL"/>
    <n v="3.3975240715268225"/>
    <x v="0"/>
    <x v="0"/>
    <n v="74.099999999999994"/>
    <s v="Deal"/>
    <m/>
    <s v="Original Amount [EUR 21.81], Merchant Amount [EUR 21.81], Customer Amount [TRY 74.1], Status [APPROVED], Operation [3DAUTH], UUID [3632830-1458739879-216] [23/03/2016 at 13:31:00]"/>
  </r>
  <r>
    <s v="3632647-1458739768-76"/>
    <s v="Spot"/>
    <s v="3632647-1458739768-76"/>
    <n v="0"/>
    <d v="2016-03-31T00:00:00"/>
    <x v="1045"/>
    <s v="76"/>
    <s v="SELL"/>
    <n v="0"/>
    <x v="0"/>
    <x v="7"/>
    <n v="0.01"/>
    <s v="Deal"/>
    <m/>
    <s v="Original Amount [USD 0.01], Merchant Amount [EUR 0], Customer Amount [USD 0.01], Status [APPROVED], Operation [STORED], UUID [3632647-1458739768-76] [23/03/2016 at 13:29:00]"/>
  </r>
  <r>
    <s v="3632644-1458739768-199"/>
    <s v="Spot"/>
    <s v="3632644-1458739768-199"/>
    <n v="0"/>
    <d v="2016-03-31T00:00:00"/>
    <x v="1046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32644-1458739768-199] [23/03/2016 at 13:29:00]"/>
  </r>
  <r>
    <s v="3632728-1458739825-216"/>
    <s v="Spot"/>
    <s v="3632728-1458739825-216"/>
    <n v="0"/>
    <d v="2016-03-31T00:00:00"/>
    <x v="1047"/>
    <s v="216"/>
    <s v="SELL"/>
    <n v="3.3975044563279861"/>
    <x v="0"/>
    <x v="0"/>
    <n v="57.18"/>
    <s v="Deal"/>
    <m/>
    <s v="Original Amount [EUR 16.83], Merchant Amount [EUR 16.83], Customer Amount [TRY 57.18], Status [APPROVED], Operation [3DAUTH], UUID [3632728-1458739825-216] [23/03/2016 at 13:30:00]"/>
  </r>
  <r>
    <s v="3632635-1458739758-224"/>
    <s v="Spot"/>
    <s v="3632635-1458739758-224"/>
    <n v="0"/>
    <d v="2016-03-31T00:00:00"/>
    <x v="1048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2635-1458739758-224] [23/03/2016 at 13:29:00]"/>
  </r>
  <r>
    <s v="3632632-1458739757-216"/>
    <s v="Spot"/>
    <s v="3632632-1458739757-216"/>
    <n v="0"/>
    <d v="2016-03-31T00:00:00"/>
    <x v="1049"/>
    <s v="216"/>
    <s v="SELL"/>
    <n v="3.3973042362002568"/>
    <x v="0"/>
    <x v="0"/>
    <n v="105.86"/>
    <s v="Deal"/>
    <m/>
    <s v="Original Amount [EUR 31.16], Merchant Amount [EUR 31.16], Customer Amount [TRY 105.86], Status [WAITING], Operation [3D], UUID [3632632-1458739757-216] [23/03/2016 at 13:29:00]"/>
  </r>
  <r>
    <s v="3632626-1458739754-126"/>
    <s v="Spot"/>
    <s v="3632626-1458739754-126"/>
    <n v="0"/>
    <d v="2016-03-31T00:00:00"/>
    <x v="1050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2626-1458739754-126] [23/03/2016 at 13:29:00]"/>
  </r>
  <r>
    <s v="3632668-1458739778-107"/>
    <s v="Spot"/>
    <s v="3632668-1458739778-107"/>
    <n v="0"/>
    <d v="2016-03-31T00:00:00"/>
    <x v="1051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2668-1458739778-107] [23/03/2016 at 13:29:00]"/>
  </r>
  <r>
    <s v="3632659-1458739773-216"/>
    <s v="Spot"/>
    <s v="3632659-1458739773-216"/>
    <n v="0"/>
    <d v="2016-03-31T00:00:00"/>
    <x v="105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2659-1458739773-216] [23/03/2016 at 13:29:00]"/>
  </r>
  <r>
    <s v="3632602-1458739741-124"/>
    <s v="Spot"/>
    <s v="3632602-1458739741-124"/>
    <n v="0"/>
    <d v="2016-03-31T00:00:00"/>
    <x v="1053"/>
    <s v="124"/>
    <s v="SELL"/>
    <n v="9.9546570942754578"/>
    <x v="0"/>
    <x v="1"/>
    <n v="526.9"/>
    <s v="Deal"/>
    <m/>
    <s v="Original Amount [EUR 52.93], Merchant Amount [EUR 52.93], Customer Amount [NOK 526.9], Status [APPROVED], Operation [DIRECT], UUID [3632602-1458739741-124] [23/03/2016 at 13:29:00]"/>
  </r>
  <r>
    <s v="3632584-1458739723-200"/>
    <s v="Spot"/>
    <s v="3632584-1458739723-200"/>
    <n v="0"/>
    <d v="2016-03-31T00:00:00"/>
    <x v="1054"/>
    <s v="200"/>
    <s v="SELL"/>
    <n v="9.954582319545823"/>
    <x v="0"/>
    <x v="1"/>
    <n v="981.92"/>
    <s v="Deal"/>
    <m/>
    <s v="Original Amount [EUR 98.64], Merchant Amount [EUR 98.64], Customer Amount [NOK 981.92], Status [APPROVED], Operation [STORED], UUID [3632584-1458739723-200] [23/03/2016 at 13:28:00]"/>
  </r>
  <r>
    <s v="3632623-1458739750-56"/>
    <s v="Spot"/>
    <s v="3632623-1458739750-56"/>
    <n v="0"/>
    <d v="2016-03-31T00:00:00"/>
    <x v="1055"/>
    <s v="56"/>
    <s v="SELL"/>
    <n v="3.3975100044464206"/>
    <x v="0"/>
    <x v="0"/>
    <n v="76.41"/>
    <s v="Deal"/>
    <m/>
    <s v="Original Amount [EUR 22.49], Merchant Amount [EUR 22.49], Customer Amount [TRY 76.41], Status [APPROVED], Operation [3DAUTH], UUID [3632623-1458739750-56] [23/03/2016 at 13:29:00]"/>
  </r>
  <r>
    <s v="3632608-1458739747-216"/>
    <s v="Spot"/>
    <s v="3632608-1458739747-216"/>
    <n v="0"/>
    <d v="2016-03-31T00:00:00"/>
    <x v="1056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32608-1458739747-216] [23/03/2016 at 13:29:00]"/>
  </r>
  <r>
    <s v="3632554-1458739697-126"/>
    <s v="Spot"/>
    <s v="3632554-1458739697-126"/>
    <n v="0"/>
    <d v="2016-03-31T00:00:00"/>
    <x v="1057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54-1458739697-126] [23/03/2016 at 13:28:00]"/>
  </r>
  <r>
    <s v="3632581-1458739715-56"/>
    <s v="Spot"/>
    <s v="3632581-1458739715-56"/>
    <n v="0"/>
    <d v="2016-03-31T00:00:00"/>
    <x v="1058"/>
    <s v="56"/>
    <s v="SELL"/>
    <n v="3.3977353149327669"/>
    <x v="0"/>
    <x v="0"/>
    <n v="48.01"/>
    <s v="Deal"/>
    <m/>
    <s v="Original Amount [EUR 14.13], Merchant Amount [EUR 14.13], Customer Amount [TRY 48.01], Status [APPROVED], Operation [3DAUTH], UUID [3632581-1458739715-56] [23/03/2016 at 13:28:00]"/>
  </r>
  <r>
    <s v="3632539-1458739685-126"/>
    <s v="Spot"/>
    <s v="3632539-1458739685-126"/>
    <n v="0"/>
    <d v="2016-03-31T00:00:00"/>
    <x v="1059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32539-1458739685-126] [23/03/2016 at 13:28:00]"/>
  </r>
  <r>
    <s v="3632569-1458739705-216"/>
    <s v="Spot"/>
    <s v="3632569-1458739705-216"/>
    <n v="0"/>
    <d v="2016-03-31T00:00:00"/>
    <x v="1060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9-1458739705-216] [23/03/2016 at 13:28:00]"/>
  </r>
  <r>
    <s v="3632566-1458739704-216"/>
    <s v="Spot"/>
    <s v="3632566-1458739704-216"/>
    <n v="0"/>
    <d v="2016-03-31T00:00:00"/>
    <x v="1061"/>
    <s v="216"/>
    <s v="SELL"/>
    <n v="3.3972895863052783"/>
    <x v="0"/>
    <x v="0"/>
    <n v="47.63"/>
    <s v="Deal"/>
    <m/>
    <s v="Original Amount [EUR 14.02], Merchant Amount [EUR 14.02], Customer Amount [TRY 47.63], Status [APPROVED], Operation [3DAUTH], UUID [3632566-1458739704-216] [23/03/2016 at 13:28:00]"/>
  </r>
  <r>
    <s v="3632509-1458739649-119"/>
    <s v="Spot"/>
    <s v="3632509-1458739649-119"/>
    <n v="0"/>
    <d v="2016-03-31T00:00:00"/>
    <x v="1062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2509-1458739649-119] [23/03/2016 at 13:27:00]"/>
  </r>
  <r>
    <s v="3632578-1458739708-56"/>
    <s v="Spot"/>
    <s v="3632578-1458739708-56"/>
    <n v="0"/>
    <d v="2016-03-31T00:00:00"/>
    <x v="1063"/>
    <s v="56"/>
    <s v="SELL"/>
    <n v="3.397230434106115"/>
    <x v="0"/>
    <x v="0"/>
    <n v="218.34"/>
    <s v="Deal"/>
    <m/>
    <s v="Original Amount [EUR 64.27], Merchant Amount [EUR 64.27], Customer Amount [TRY 218.34], Status [APPROVED], Operation [3DAUTH], UUID [3632578-1458739708-56] [23/03/2016 at 13:28:00]"/>
  </r>
  <r>
    <s v="3632506-1458739649-264"/>
    <s v="Spot"/>
    <s v="3632506-1458739649-264"/>
    <n v="0"/>
    <d v="2016-03-31T00:00:00"/>
    <x v="1064"/>
    <s v="264"/>
    <s v="SELL"/>
    <n v="1.180064308681672"/>
    <x v="0"/>
    <x v="7"/>
    <n v="3.67"/>
    <s v="Deal"/>
    <m/>
    <s v="Original Amount [TRY 10], Merchant Amount [EUR 3.11], Customer Amount [USD 3.67], Status [APPROVED], Operation [3DAUTH], UUID [3632506-1458739649-264] [23/03/2016 at 13:27:00]"/>
  </r>
  <r>
    <s v="3632476-1458739635-126"/>
    <s v="Spot"/>
    <s v="3632476-1458739635-126"/>
    <n v="0"/>
    <d v="2016-03-31T00:00:00"/>
    <x v="106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32476-1458739635-126] [23/03/2016 at 13:27:00]"/>
  </r>
  <r>
    <s v="3632473-1458739633-56"/>
    <s v="Spot"/>
    <s v="3632473-1458739633-56"/>
    <n v="0"/>
    <d v="2016-03-31T00:00:00"/>
    <x v="1066"/>
    <s v="56"/>
    <s v="SELL"/>
    <n v="3.3954212047121577"/>
    <x v="0"/>
    <x v="0"/>
    <n v="152.76"/>
    <s v="Deal"/>
    <m/>
    <s v="Original Amount [EUR 44.99], Merchant Amount [EUR 44.99], Customer Amount [TRY 152.76], Status [APPROVED], Operation [3DAUTH], UUID [3632473-1458739633-56] [23/03/2016 at 13:27:00]"/>
  </r>
  <r>
    <s v="3632452-1458739600-196"/>
    <s v="Spot"/>
    <s v="3632452-1458739600-196"/>
    <n v="0"/>
    <d v="2016-03-31T00:00:00"/>
    <x v="1067"/>
    <s v="196"/>
    <s v="SELL"/>
    <n v="9.9665103817816494"/>
    <x v="0"/>
    <x v="1"/>
    <n v="297.60000000000002"/>
    <s v="Deal"/>
    <m/>
    <s v="Original Amount [EUR 29.86], Merchant Amount [EUR 29.86], Customer Amount [NOK 297.6], Status [WAITING], Operation [3D], UUID [3632452-1458739600-196] [23/03/2016 at 13:26:00]"/>
  </r>
  <r>
    <s v="3632443-1458739597-224"/>
    <s v="Spot"/>
    <s v="3632443-1458739597-224"/>
    <n v="0"/>
    <d v="2016-03-31T00:00:00"/>
    <x v="1068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32443-1458739597-224] [23/03/2016 at 13:26:00]"/>
  </r>
  <r>
    <s v="3632428-1458739578-261"/>
    <s v="Spot"/>
    <s v="3632428-1458739578-261"/>
    <n v="0"/>
    <d v="2016-03-31T00:00:00"/>
    <x v="1069"/>
    <s v="261"/>
    <s v="SELL"/>
    <n v="9.966273833477052"/>
    <x v="0"/>
    <x v="1"/>
    <n v="3120.54"/>
    <s v="Deal"/>
    <m/>
    <s v="Original Amount [EUR 313.11], Merchant Amount [EUR 313.11], Customer Amount [NOK 3120.54], Status [APPROVED], Operation [DIRECT], UUID [3632428-1458739578-261] [23/03/2016 at 13:26:00]"/>
  </r>
  <r>
    <s v="3632416-1458739563-200"/>
    <s v="Spot"/>
    <s v="3632416-1458739563-200"/>
    <n v="0"/>
    <d v="2016-03-31T00:00:00"/>
    <x v="1070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2416-1458739563-200] [23/03/2016 at 13:26:00]"/>
  </r>
  <r>
    <s v="3632398-1458739550-125"/>
    <s v="Spot"/>
    <s v="3632398-1458739550-125"/>
    <n v="0"/>
    <d v="2016-03-31T00:00:00"/>
    <x v="1071"/>
    <s v="125"/>
    <s v="SELL"/>
    <n v="9.9664000000000001"/>
    <x v="0"/>
    <x v="1"/>
    <n v="498.32"/>
    <s v="Deal"/>
    <m/>
    <s v="Original Amount [EUR 50], Merchant Amount [EUR 50], Customer Amount [NOK 498.32], Status [APPROVED], Operation [DIRECT], UUID [3632398-1458739550-125] [23/03/2016 at 13:25:00]"/>
  </r>
  <r>
    <s v="3632386-1458739531-171"/>
    <s v="Spot"/>
    <s v="3632386-1458739531-171"/>
    <n v="0"/>
    <d v="2016-03-31T00:00:00"/>
    <x v="1072"/>
    <s v="171"/>
    <s v="SELL"/>
    <n v="1.5442976015663241"/>
    <x v="0"/>
    <x v="2"/>
    <n v="31.55"/>
    <s v="Deal"/>
    <m/>
    <s v="Original Amount [EUR 20.43], Merchant Amount [EUR 20.43], Customer Amount [CAD 31.55], Status [APPROVED], Operation [DIRECT], UUID [3632386-1458739531-171] [23/03/2016 at 13:25:00]"/>
  </r>
  <r>
    <s v="3632410-1458739556-216"/>
    <s v="Spot"/>
    <s v="3632410-1458739556-216"/>
    <n v="0"/>
    <d v="2016-03-31T00:00:00"/>
    <x v="1073"/>
    <s v="216"/>
    <s v="SELL"/>
    <n v="3.3958630527817406"/>
    <x v="0"/>
    <x v="0"/>
    <n v="47.61"/>
    <s v="Deal"/>
    <m/>
    <s v="Original Amount [EUR 14.02], Merchant Amount [EUR 14.02], Customer Amount [TRY 47.61], Status [APPROVED], Operation [3DAUTH], UUID [3632410-1458739556-216] [23/03/2016 at 13:25:00]"/>
  </r>
  <r>
    <s v="3632359-1458739494-224"/>
    <s v="Spot"/>
    <s v="3632359-1458739494-224"/>
    <n v="0"/>
    <d v="2016-03-31T00:00:00"/>
    <x v="1074"/>
    <s v="224"/>
    <s v="SELL"/>
    <n v="132.83244182936613"/>
    <x v="0"/>
    <x v="3"/>
    <n v="9933.2099999999991"/>
    <s v="Deal"/>
    <m/>
    <s v="Original Amount [EUR 74.78], Merchant Amount [EUR 74.78], Customer Amount [JPY 9933.21], Status [APPROVED], Operation [DIRECT], UUID [3632359-1458739494-224] [23/03/2016 at 13:24:00]"/>
  </r>
  <r>
    <s v="3632365-1458739510-264"/>
    <s v="Spot"/>
    <s v="3632365-1458739510-264"/>
    <n v="0"/>
    <d v="2016-03-31T00:00:00"/>
    <x v="1075"/>
    <s v="264"/>
    <s v="SELL"/>
    <n v="3.3988402061855671"/>
    <x v="0"/>
    <x v="0"/>
    <n v="52.75"/>
    <s v="Deal"/>
    <m/>
    <s v="Original Amount [TRY 50], Merchant Amount [EUR 15.52], Customer Amount [TRY 52.75], Status [APPROVED], Operation [3DAUTH], UUID [3632365-1458739510-264] [23/03/2016 at 13:25:00]"/>
  </r>
  <r>
    <s v="3632353-1458739488-241"/>
    <s v="Spot"/>
    <s v="3632353-1458739488-241"/>
    <n v="0"/>
    <d v="2016-03-31T00:00:00"/>
    <x v="107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32353-1458739488-241] [23/03/2016 at 13:24:00]"/>
  </r>
  <r>
    <s v="3632377-1458739529-216"/>
    <s v="Spot"/>
    <s v="3632377-1458739529-216"/>
    <n v="0"/>
    <d v="2016-03-31T00:00:00"/>
    <x v="1077"/>
    <s v="216"/>
    <s v="SELL"/>
    <n v="3.3955603102433805"/>
    <x v="0"/>
    <x v="0"/>
    <n v="126.96"/>
    <s v="Deal"/>
    <m/>
    <s v="Original Amount [EUR 37.39], Merchant Amount [EUR 37.39], Customer Amount [TRY 126.96], Status [APPROVED], Operation [3DAUTH], UUID [3632377-1458739529-216] [23/03/2016 at 13:25:00]"/>
  </r>
  <r>
    <s v="3632329-1458739468-145"/>
    <s v="Spot"/>
    <s v="3632329-1458739468-145"/>
    <n v="0"/>
    <d v="2016-03-31T00:00:00"/>
    <x v="1078"/>
    <s v="145"/>
    <s v="SELL"/>
    <n v="1.5441908106526192"/>
    <x v="0"/>
    <x v="2"/>
    <n v="105.53"/>
    <s v="Deal"/>
    <m/>
    <s v="Original Amount [EUR 68.34], Merchant Amount [EUR 68.34], Customer Amount [CAD 105.53], Status [WAITING], Operation [3D], UUID [3632329-1458739468-145] [23/03/2016 at 13:24:00]"/>
  </r>
  <r>
    <s v="3632323-1458739465-264"/>
    <s v="Spot"/>
    <s v="3632323-1458739465-264"/>
    <n v="0"/>
    <d v="2016-03-31T00:00:00"/>
    <x v="107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32323-1458739465-264] [23/03/2016 at 13:24:00]"/>
  </r>
  <r>
    <s v="3632308-1458739452-224"/>
    <s v="Spot"/>
    <s v="3632308-1458739452-224"/>
    <n v="0"/>
    <d v="2016-03-31T00:00:00"/>
    <x v="1080"/>
    <s v="224"/>
    <s v="SELL"/>
    <n v="9.9663648124191457"/>
    <x v="0"/>
    <x v="1"/>
    <n v="539.28"/>
    <s v="Deal"/>
    <m/>
    <s v="Original Amount [EUR 54.11], Merchant Amount [EUR 54.11], Customer Amount [NOK 539.28], Status [APPROVED], Operation [DIRECT], UUID [3632308-1458739452-224] [23/03/2016 at 13:24:00]"/>
  </r>
  <r>
    <s v="3632305-1458739447-216"/>
    <s v="Spot"/>
    <s v="3632305-1458739447-216"/>
    <n v="0"/>
    <d v="2016-03-31T00:00:00"/>
    <x v="1081"/>
    <s v="216"/>
    <s v="SELL"/>
    <n v="3.3955603102433805"/>
    <x v="0"/>
    <x v="0"/>
    <n v="126.96"/>
    <s v="Deal"/>
    <m/>
    <s v="Original Amount [EUR 37.39], Merchant Amount [EUR 37.39], Customer Amount [TRY 126.96], Status [WAITING], Operation [3D], UUID [3632305-1458739447-216] [23/03/2016 at 13:24:00]"/>
  </r>
  <r>
    <s v="3632332-1458739470-56"/>
    <s v="Spot"/>
    <s v="3632332-1458739470-56"/>
    <n v="0"/>
    <d v="2016-03-31T00:00:00"/>
    <x v="1082"/>
    <s v="56"/>
    <s v="SELL"/>
    <n v="3.3960149439601497"/>
    <x v="0"/>
    <x v="0"/>
    <n v="27.27"/>
    <s v="Deal"/>
    <m/>
    <s v="Original Amount [EUR 8.03], Merchant Amount [EUR 8.03], Customer Amount [TRY 27.27], Status [APPROVED], Operation [3DAUTH], UUID [3632332-1458739470-56] [23/03/2016 at 13:24:00]"/>
  </r>
  <r>
    <s v="3632296-1458739427-126"/>
    <s v="Spot"/>
    <s v="3632296-1458739427-126"/>
    <n v="0"/>
    <d v="2016-03-31T00:00:00"/>
    <x v="1083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2296-1458739427-126] [23/03/2016 at 13:23:00]"/>
  </r>
  <r>
    <s v="3632335-1458739476-124"/>
    <s v="Spot"/>
    <s v="3632335-1458739476-124"/>
    <n v="0"/>
    <d v="2016-03-31T00:00:00"/>
    <x v="1084"/>
    <s v="124"/>
    <s v="SELL"/>
    <n v="9.9663414634146328"/>
    <x v="0"/>
    <x v="1"/>
    <n v="1225.8599999999999"/>
    <s v="Deal"/>
    <m/>
    <s v="Original Amount [EUR 123], Merchant Amount [EUR 123], Customer Amount [NOK 1225.86], Status [APPROVED], Operation [3DAUTH], UUID [3632335-1458739476-124] [23/03/2016 at 13:24:00]"/>
  </r>
  <r>
    <s v="3632272-1458739413-126"/>
    <s v="Spot"/>
    <s v="3632272-1458739413-126"/>
    <n v="0"/>
    <d v="2016-03-31T00:00:00"/>
    <x v="1085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2272-1458739413-126] [23/03/2016 at 13:23:00]"/>
  </r>
  <r>
    <s v="3632266-1458739412-82"/>
    <s v="Spot"/>
    <s v="3632266-1458739412-82"/>
    <n v="0"/>
    <d v="2016-03-31T00:00:00"/>
    <x v="1086"/>
    <s v="82"/>
    <s v="SELL"/>
    <n v="0.83634175691937418"/>
    <x v="0"/>
    <x v="4"/>
    <n v="6.95"/>
    <s v="Deal"/>
    <m/>
    <s v="Original Amount [GBP 6.95], Merchant Amount [EUR 8.31], Customer Amount [GBP 6.95], Status [APPROVED], Operation [STORED], UUID [3632266-1458739412-82] [23/03/2016 at 13:23:00]"/>
  </r>
  <r>
    <s v="3632269-1458739412-56"/>
    <s v="Spot"/>
    <s v="3632269-1458739412-56"/>
    <n v="0"/>
    <d v="2016-03-31T00:00:00"/>
    <x v="1087"/>
    <s v="56"/>
    <s v="SELL"/>
    <n v="3.3960149439601497"/>
    <x v="0"/>
    <x v="0"/>
    <n v="27.27"/>
    <s v="Deal"/>
    <m/>
    <s v="Original Amount [EUR 8.03], Merchant Amount [EUR 8.03], Customer Amount [TRY 27.27], Status [WAITING], Operation [3D], UUID [3632269-1458739412-56] [23/03/2016 at 13:23:00]"/>
  </r>
  <r>
    <s v="3632287-1458739421-101"/>
    <s v="Spot"/>
    <s v="3632287-1458739421-101"/>
    <n v="0"/>
    <d v="2016-03-31T00:00:00"/>
    <x v="1088"/>
    <s v="101"/>
    <s v="SELL"/>
    <n v="3.3953307392996113"/>
    <x v="0"/>
    <x v="0"/>
    <n v="43.63"/>
    <s v="Deal"/>
    <m/>
    <s v="Original Amount [EUR 12.85], Merchant Amount [EUR 12.85], Customer Amount [TRY 43.63], Status [APPROVED], Operation [3DAUTH], UUID [3632287-1458739421-101] [23/03/2016 at 13:23:00]"/>
  </r>
  <r>
    <s v="3632248-1458739398-200"/>
    <s v="Spot"/>
    <s v="3632248-1458739398-200"/>
    <n v="0"/>
    <d v="2016-03-31T00:00:00"/>
    <x v="1089"/>
    <s v="200"/>
    <s v="SELL"/>
    <n v="9.9663712200208554"/>
    <x v="0"/>
    <x v="1"/>
    <n v="382.31"/>
    <s v="Deal"/>
    <m/>
    <s v="Original Amount [EUR 38.36], Merchant Amount [EUR 38.36], Customer Amount [NOK 382.31], Status [APPROVED], Operation [STORED], UUID [3632248-1458739398-200] [23/03/2016 at 13:23:00]"/>
  </r>
  <r>
    <s v="3632284-1458739418-179"/>
    <s v="Spot"/>
    <s v="3632284-1458739418-179"/>
    <n v="0"/>
    <d v="2016-03-31T00:00:00"/>
    <x v="1090"/>
    <s v="179"/>
    <s v="SELL"/>
    <n v="3.3953136810279667"/>
    <x v="0"/>
    <x v="0"/>
    <n v="89.84"/>
    <s v="Deal"/>
    <m/>
    <s v="Original Amount [EUR 26.46], Merchant Amount [EUR 26.46], Customer Amount [TRY 89.84], Status [APPROVED], Operation [3DAUTH], UUID [3632284-1458739418-179] [23/03/2016 at 13:23:00]"/>
  </r>
  <r>
    <s v="3632230-1458739390-224"/>
    <s v="Spot"/>
    <s v="3632230-1458739390-224"/>
    <n v="0"/>
    <d v="2016-03-31T00:00:00"/>
    <x v="109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2230-1458739390-224] [23/03/2016 at 13:23:00]"/>
  </r>
  <r>
    <s v="3632224-1458739386-119"/>
    <s v="Spot"/>
    <s v="3632224-1458739386-119"/>
    <n v="0"/>
    <d v="2016-03-31T00:00:00"/>
    <x v="109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224-1458739386-119] [23/03/2016 at 13:23:00]"/>
  </r>
  <r>
    <s v="3632263-1458739405-124"/>
    <s v="Spot"/>
    <s v="3632263-1458739405-124"/>
    <n v="0"/>
    <d v="2016-03-31T00:00:00"/>
    <x v="1093"/>
    <s v="124"/>
    <s v="SELL"/>
    <n v="9.9662971175166302"/>
    <x v="0"/>
    <x v="1"/>
    <n v="1123.7"/>
    <s v="Deal"/>
    <m/>
    <s v="Original Amount [EUR 112.75], Merchant Amount [EUR 112.75], Customer Amount [NOK 1123.7], Status [APPROVED], Operation [3DAUTH], UUID [3632263-1458739405-124] [23/03/2016 at 13:23:00]"/>
  </r>
  <r>
    <s v="3632209-1458739376-264"/>
    <s v="Spot"/>
    <s v="3632209-1458739376-264"/>
    <n v="0"/>
    <d v="2016-03-31T00:00:00"/>
    <x v="1094"/>
    <s v="264"/>
    <s v="SELL"/>
    <n v="1.178770351328192"/>
    <x v="0"/>
    <x v="7"/>
    <n v="110.05"/>
    <s v="Deal"/>
    <m/>
    <s v="Original Amount [TRY 300], Merchant Amount [EUR 93.36], Customer Amount [USD 110.05], Status [APPROVED], Operation [3DAUTH], UUID [3632209-1458739376-264] [23/03/2016 at 13:22:00]"/>
  </r>
  <r>
    <s v="3632200-1458739368-82"/>
    <s v="Spot"/>
    <s v="3632200-1458739368-82"/>
    <n v="0"/>
    <d v="2016-03-31T00:00:00"/>
    <x v="109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200-1458739368-82] [23/03/2016 at 13:22:00]"/>
  </r>
  <r>
    <s v="3632257-1458739401-216"/>
    <s v="Spot"/>
    <s v="3632257-1458739401-216"/>
    <n v="0"/>
    <d v="2016-03-31T00:00:00"/>
    <x v="1096"/>
    <s v="216"/>
    <s v="SELL"/>
    <n v="1.9052753176742394"/>
    <x v="0"/>
    <x v="13"/>
    <n v="49.48"/>
    <s v="Deal"/>
    <m/>
    <s v="Original Amount [EUR 25.97], Merchant Amount [EUR 25.97], Customer Amount [AZN 49.48], Status [APPROVED], Operation [3DAUTH], UUID [3632257-1458739401-216] [23/03/2016 at 13:23:00]"/>
  </r>
  <r>
    <s v="3632203-1458739371-172"/>
    <s v="Spot"/>
    <s v="3632203-1458739371-172"/>
    <n v="0"/>
    <d v="2016-03-31T00:00:00"/>
    <x v="1097"/>
    <s v="172"/>
    <s v="SELL"/>
    <n v="9.9668304668304657"/>
    <x v="0"/>
    <x v="1"/>
    <n v="162.26"/>
    <s v="Deal"/>
    <m/>
    <s v="Original Amount [EUR 16.28], Merchant Amount [EUR 16.28], Customer Amount [NOK 162.26], Status [APPROVED], Operation [3DAUTH], UUID [3632203-1458739371-172] [23/03/2016 at 13:22:00]"/>
  </r>
  <r>
    <s v="3632173-1458739343-261"/>
    <s v="Spot"/>
    <s v="3632173-1458739343-261"/>
    <n v="0"/>
    <d v="2016-03-31T00:00:00"/>
    <x v="1098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173-1458739343-261] [23/03/2016 at 13:22:00]"/>
  </r>
  <r>
    <s v="3632170-1458739340-145"/>
    <s v="Spot"/>
    <s v="3632170-1458739340-145"/>
    <n v="0"/>
    <d v="2016-03-31T00:00:00"/>
    <x v="1099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170-1458739340-145] [23/03/2016 at 13:22:00]"/>
  </r>
  <r>
    <s v="3632161-1458739337-261"/>
    <s v="Spot"/>
    <s v="3632161-1458739337-261"/>
    <n v="0"/>
    <d v="2016-03-31T00:00:00"/>
    <x v="1100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32161-1458739337-261] [23/03/2016 at 13:22:00]"/>
  </r>
  <r>
    <s v="3632188-1458739357-101"/>
    <s v="Spot"/>
    <s v="3632188-1458739357-101"/>
    <n v="0"/>
    <d v="2016-03-31T00:00:00"/>
    <x v="1101"/>
    <s v="101"/>
    <s v="SELL"/>
    <n v="3.395369102452384"/>
    <x v="0"/>
    <x v="0"/>
    <n v="272.75"/>
    <s v="Deal"/>
    <m/>
    <s v="Original Amount [EUR 80.33], Merchant Amount [EUR 80.33], Customer Amount [TRY 272.75], Status [APPROVED], Operation [3DAUTH], UUID [3632188-1458739357-101] [23/03/2016 at 13:22:00]"/>
  </r>
  <r>
    <s v="3632137-1458739326-119"/>
    <s v="Spot"/>
    <s v="3632137-1458739326-119"/>
    <n v="0"/>
    <d v="2016-03-31T00:00:00"/>
    <x v="1102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2137-1458739326-119] [23/03/2016 at 13:22:00]"/>
  </r>
  <r>
    <s v="3632134-1458739325-134"/>
    <s v="Spot"/>
    <s v="3632134-1458739325-134"/>
    <n v="0"/>
    <d v="2016-03-31T00:00:00"/>
    <x v="1103"/>
    <s v="134"/>
    <s v="SELL"/>
    <n v="132.83251121076233"/>
    <x v="0"/>
    <x v="3"/>
    <n v="5924.33"/>
    <s v="Deal"/>
    <m/>
    <s v="Original Amount [EUR 44.6], Merchant Amount [EUR 44.6], Customer Amount [JPY 5924.33], Status [APPROVED], Operation [STORED], UUID [3632134-1458739325-134] [23/03/2016 at 13:22:00]"/>
  </r>
  <r>
    <s v="3632131-1458739320-199"/>
    <s v="Spot"/>
    <s v="3632131-1458739320-199"/>
    <n v="0"/>
    <d v="2016-03-31T00:00:00"/>
    <x v="110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131-1458739320-199] [23/03/2016 at 13:22:00]"/>
  </r>
  <r>
    <s v="3632122-1458739306-82"/>
    <s v="Spot"/>
    <s v="3632122-1458739306-82"/>
    <n v="0"/>
    <d v="2016-03-31T00:00:00"/>
    <x v="1105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2122-1458739306-82] [23/03/2016 at 13:21:00]"/>
  </r>
  <r>
    <s v="3632191-1458739358-203"/>
    <s v="Spot"/>
    <s v="3632191-1458739358-203"/>
    <n v="0"/>
    <d v="2016-03-31T00:00:00"/>
    <x v="1106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191-1458739358-203] [23/03/2016 at 13:22:00]"/>
  </r>
  <r>
    <s v="3632110-1458739296-119"/>
    <s v="Spot"/>
    <s v="3632110-1458739296-119"/>
    <n v="0"/>
    <d v="2016-03-31T00:00:00"/>
    <x v="1107"/>
    <s v="119"/>
    <s v="SELL"/>
    <n v="9.9663000000000004"/>
    <x v="0"/>
    <x v="1"/>
    <n v="996.63"/>
    <s v="Deal"/>
    <m/>
    <s v="Original Amount [EUR 100], Merchant Amount [EUR 100], Customer Amount [NOK 996.63], Status [APPROVED], Operation [DIRECT], UUID [3632110-1458739296-119] [23/03/2016 at 13:21:00]"/>
  </r>
  <r>
    <s v="3632074-1458739251-199"/>
    <s v="Spot"/>
    <s v="3632074-1458739251-199"/>
    <n v="0"/>
    <d v="2016-03-31T00:00:00"/>
    <x v="110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2074-1458739251-199] [23/03/2016 at 13:20:00]"/>
  </r>
  <r>
    <s v="3632065-1458739244-125"/>
    <s v="Spot"/>
    <s v="3632065-1458739244-125"/>
    <n v="0"/>
    <d v="2016-03-31T00:00:00"/>
    <x v="1109"/>
    <s v="125"/>
    <s v="SELL"/>
    <n v="132.9933"/>
    <x v="0"/>
    <x v="3"/>
    <n v="13299.33"/>
    <s v="Deal"/>
    <m/>
    <s v="Original Amount [EUR 100], Merchant Amount [EUR 100], Customer Amount [JPY 13299.33], Status [APPROVED], Operation [DIRECT], UUID [3632065-1458739244-125] [23/03/2016 at 13:20:00]"/>
  </r>
  <r>
    <s v="3632056-1458739229-224"/>
    <s v="Spot"/>
    <s v="3632056-1458739229-224"/>
    <n v="0"/>
    <d v="2016-03-31T00:00:00"/>
    <x v="1110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32056-1458739229-224] [23/03/2016 at 13:20:00]"/>
  </r>
  <r>
    <s v="3632068-1458739248-216"/>
    <s v="Spot"/>
    <s v="3632068-1458739248-216"/>
    <n v="0"/>
    <d v="2016-03-31T00:00:00"/>
    <x v="1111"/>
    <s v="216"/>
    <s v="SELL"/>
    <n v="3.3953786906290113"/>
    <x v="0"/>
    <x v="0"/>
    <n v="52.9"/>
    <s v="Deal"/>
    <m/>
    <s v="Original Amount [EUR 15.58], Merchant Amount [EUR 15.58], Customer Amount [TRY 52.9], Status [APPROVED], Operation [3DAUTH], UUID [3632068-1458739248-216] [23/03/2016 at 13:20:00]"/>
  </r>
  <r>
    <s v="3632047-1458739220-145"/>
    <s v="Spot"/>
    <s v="3632047-1458739220-145"/>
    <n v="0"/>
    <d v="2016-03-31T00:00:00"/>
    <x v="1112"/>
    <s v="145"/>
    <s v="SELL"/>
    <n v="9.9669811320754729"/>
    <x v="0"/>
    <x v="1"/>
    <n v="105.65"/>
    <s v="Deal"/>
    <m/>
    <s v="Original Amount [EUR 10.6], Merchant Amount [EUR 10.6], Customer Amount [NOK 105.65], Status [APPROVED], Operation [DIRECT], UUID [3632047-1458739220-145] [23/03/2016 at 13:20:00]"/>
  </r>
  <r>
    <s v="3632044-1458739220-224"/>
    <s v="Spot"/>
    <s v="3632044-1458739220-224"/>
    <n v="0"/>
    <d v="2016-03-31T00:00:00"/>
    <x v="1113"/>
    <s v="224"/>
    <s v="SELL"/>
    <n v="132.99401794616153"/>
    <x v="0"/>
    <x v="3"/>
    <n v="1333.93"/>
    <s v="Deal"/>
    <m/>
    <s v="Original Amount [EUR 10.03], Merchant Amount [EUR 10.03], Customer Amount [JPY 1333.93], Status [APPROVED], Operation [DIRECT], UUID [3632044-1458739220-224] [23/03/2016 at 13:20:00]"/>
  </r>
  <r>
    <s v="3632035-1458739216-261"/>
    <s v="Spot"/>
    <s v="3632035-1458739216-261"/>
    <n v="0"/>
    <d v="2016-03-31T00:00:00"/>
    <x v="1114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2035-1458739216-261] [23/03/2016 at 13:20:00]"/>
  </r>
  <r>
    <s v="3632077-1458739252-203"/>
    <s v="Spot"/>
    <s v="3632077-1458739252-203"/>
    <n v="0"/>
    <d v="2016-03-31T00:00:00"/>
    <x v="1115"/>
    <s v="203"/>
    <s v="SELL"/>
    <n v="3.395483870967742"/>
    <x v="0"/>
    <x v="0"/>
    <n v="105.26"/>
    <s v="Deal"/>
    <m/>
    <s v="Original Amount [EUR 31], Merchant Amount [EUR 31], Customer Amount [TRY 105.26], Status [APPROVED], Operation [3DAUTH], UUID [3632077-1458739252-203] [23/03/2016 at 13:20:00]"/>
  </r>
  <r>
    <s v="3632053-1458739224-101"/>
    <s v="Spot"/>
    <s v="3632053-1458739224-101"/>
    <n v="0"/>
    <d v="2016-03-31T00:00:00"/>
    <x v="1116"/>
    <s v="101"/>
    <s v="SELL"/>
    <n v="3.3953633110315855"/>
    <x v="0"/>
    <x v="0"/>
    <n v="218.22"/>
    <s v="Deal"/>
    <m/>
    <s v="Original Amount [EUR 64.27], Merchant Amount [EUR 64.27], Customer Amount [TRY 218.22], Status [APPROVED], Operation [3DAUTH], UUID [3632053-1458739224-101] [23/03/2016 at 13:20:00]"/>
  </r>
  <r>
    <s v="3632032-1458739211-160"/>
    <s v="Spot"/>
    <s v="3632032-1458739211-160"/>
    <n v="0"/>
    <d v="2016-03-31T00:00:00"/>
    <x v="1117"/>
    <s v="160"/>
    <s v="SELL"/>
    <n v="3.3953638119768188"/>
    <x v="0"/>
    <x v="0"/>
    <n v="105.46"/>
    <s v="Deal"/>
    <m/>
    <s v="Original Amount [EUR 31.06], Merchant Amount [EUR 31.06], Customer Amount [TRY 105.46], Status [APPROVED], Operation [3DAUTH], UUID [3632032-1458739211-160] [23/03/2016 at 13:20:00]"/>
  </r>
  <r>
    <s v="3632008-1458739185-199"/>
    <s v="Spot"/>
    <s v="3632008-1458739185-199"/>
    <n v="0"/>
    <d v="2016-03-31T00:00:00"/>
    <x v="111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2008-1458739185-199] [23/03/2016 at 13:19:00]"/>
  </r>
  <r>
    <s v="3631987-1458739162-216"/>
    <s v="Spot"/>
    <s v="3631987-1458739162-216"/>
    <n v="0"/>
    <d v="2016-03-31T00:00:00"/>
    <x v="1119"/>
    <s v="216"/>
    <s v="SELL"/>
    <n v="3.3954457985888391"/>
    <x v="0"/>
    <x v="0"/>
    <n v="105.87"/>
    <s v="Deal"/>
    <m/>
    <s v="Original Amount [EUR 31.18], Merchant Amount [EUR 31.18], Customer Amount [TRY 105.87], Status [WAITING], Operation [3D], UUID [3631987-1458739162-216] [23/03/2016 at 13:19:00]"/>
  </r>
  <r>
    <s v="3632005-1458739184-56"/>
    <s v="Spot"/>
    <s v="3632005-1458739184-56"/>
    <n v="0"/>
    <d v="2016-03-31T00:00:00"/>
    <x v="1120"/>
    <s v="56"/>
    <s v="SELL"/>
    <n v="3.3956185567010309"/>
    <x v="0"/>
    <x v="0"/>
    <n v="79.05"/>
    <s v="Deal"/>
    <m/>
    <s v="Original Amount [EUR 23.28], Merchant Amount [EUR 23.28], Customer Amount [TRY 79.05], Status [APPROVED], Operation [3DAUTH], UUID [3632005-1458739184-56] [23/03/2016 at 13:19:00]"/>
  </r>
  <r>
    <s v="3631978-1458739154-199"/>
    <s v="Spot"/>
    <s v="3631978-1458739154-199"/>
    <n v="0"/>
    <d v="2016-03-31T00:00:00"/>
    <x v="1121"/>
    <s v="199"/>
    <s v="SELL"/>
    <n v="9.966400736422214"/>
    <x v="0"/>
    <x v="1"/>
    <n v="649.61"/>
    <s v="Deal"/>
    <m/>
    <s v="Original Amount [EUR 65.18], Merchant Amount [EUR 65.18], Customer Amount [NOK 649.61], Status [APPROVED], Operation [DIRECT], UUID [3631978-1458739154-199] [23/03/2016 at 13:19:00]"/>
  </r>
  <r>
    <s v="3631999-1458739181-107"/>
    <s v="Spot"/>
    <s v="3631999-1458739181-107"/>
    <n v="0"/>
    <d v="2016-03-31T00:00:00"/>
    <x v="1122"/>
    <s v="107"/>
    <s v="SELL"/>
    <n v="3.3954163976759197"/>
    <x v="0"/>
    <x v="0"/>
    <n v="210.38"/>
    <s v="Deal"/>
    <m/>
    <s v="Original Amount [EUR 61.96], Merchant Amount [EUR 61.96], Customer Amount [TRY 210.38], Status [APPROVED], Operation [3DAUTH], UUID [3631999-1458739181-107] [23/03/2016 at 13:19:00]"/>
  </r>
  <r>
    <s v="3632083-1458739255-154"/>
    <s v="Spot"/>
    <s v="3632083-1458739255-154"/>
    <n v="0"/>
    <d v="2016-03-31T00:00:00"/>
    <x v="1123"/>
    <s v="154"/>
    <s v="SELL"/>
    <n v="9.9664778092540143"/>
    <x v="0"/>
    <x v="1"/>
    <n v="211.09"/>
    <s v="Deal"/>
    <m/>
    <s v="Original Amount [EUR 21.18], Merchant Amount [EUR 21.18], Customer Amount [NOK 211.09], Status [APPROVED], Operation [3DAUTH], UUID [3632083-1458739255-154] [23/03/2016 at 13:20:00]"/>
  </r>
  <r>
    <s v="3631960-1458739138-101"/>
    <s v="Spot"/>
    <s v="3631960-1458739138-101"/>
    <n v="0"/>
    <d v="2016-03-31T00:00:00"/>
    <x v="1124"/>
    <s v="101"/>
    <s v="SELL"/>
    <n v="3.3953633110315855"/>
    <x v="0"/>
    <x v="0"/>
    <n v="218.22"/>
    <s v="Deal"/>
    <m/>
    <s v="Original Amount [EUR 64.27], Merchant Amount [EUR 64.27], Customer Amount [TRY 218.22], Status [WAITING], Operation [3D], UUID [3631960-1458739138-101] [23/03/2016 at 13:18:00]"/>
  </r>
  <r>
    <s v="3631957-1458739138-216"/>
    <s v="Spot"/>
    <s v="3631957-1458739138-216"/>
    <n v="0"/>
    <d v="2016-03-31T00:00:00"/>
    <x v="1125"/>
    <s v="216"/>
    <s v="SELL"/>
    <n v="3.3957665169980755"/>
    <x v="0"/>
    <x v="0"/>
    <n v="52.94"/>
    <s v="Deal"/>
    <m/>
    <s v="Original Amount [EUR 15.59], Merchant Amount [EUR 15.59], Customer Amount [TRY 52.94], Status [WAITING], Operation [3D], UUID [3631957-1458739138-216] [23/03/2016 at 13:18:00]"/>
  </r>
  <r>
    <s v="3631981-1458739157-216"/>
    <s v="Spot"/>
    <s v="3631981-1458739157-216"/>
    <n v="0"/>
    <d v="2016-03-31T00:00:00"/>
    <x v="1126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81-1458739157-216] [23/03/2016 at 13:19:00]"/>
  </r>
  <r>
    <s v="3631948-1458739132-107"/>
    <s v="Spot"/>
    <s v="3631948-1458739132-107"/>
    <n v="0"/>
    <d v="2016-03-31T00:00:00"/>
    <x v="1127"/>
    <s v="107"/>
    <s v="SELL"/>
    <n v="3.3954163976759197"/>
    <x v="0"/>
    <x v="0"/>
    <n v="210.38"/>
    <s v="Deal"/>
    <m/>
    <s v="Original Amount [EUR 61.96], Merchant Amount [EUR 61.96], Customer Amount [TRY 210.38], Status [WAITING], Operation [3D], UUID [3631948-1458739132-107] [23/03/2016 at 13:18:00]"/>
  </r>
  <r>
    <s v="3632002-1458739184-203"/>
    <s v="Spot"/>
    <s v="3632002-1458739184-203"/>
    <n v="0"/>
    <d v="2016-03-31T00:00:00"/>
    <x v="1128"/>
    <s v="203"/>
    <s v="SELL"/>
    <n v="3.3953716690042079"/>
    <x v="0"/>
    <x v="0"/>
    <n v="242.09"/>
    <s v="Deal"/>
    <m/>
    <s v="Original Amount [EUR 71.3], Merchant Amount [EUR 71.3], Customer Amount [TRY 242.09], Status [APPROVED], Operation [3DAUTH], UUID [3632002-1458739184-203] [23/03/2016 at 13:19:00]"/>
  </r>
  <r>
    <s v="3631942-1458739121-264"/>
    <s v="Spot"/>
    <s v="3631942-1458739121-264"/>
    <n v="0"/>
    <d v="2016-03-31T00:00:00"/>
    <x v="1129"/>
    <s v="264"/>
    <s v="SELL"/>
    <n v="1.1838709677419355"/>
    <x v="0"/>
    <x v="7"/>
    <n v="3.67"/>
    <s v="Deal"/>
    <m/>
    <s v="Original Amount [TRY 10], Merchant Amount [EUR 3.1], Customer Amount [USD 3.67], Status [APPROVED], Operation [3DAUTH], UUID [3631942-1458739121-264] [23/03/2016 at 13:18:00]"/>
  </r>
  <r>
    <s v="3631951-1458739135-203"/>
    <s v="Spot"/>
    <s v="3631951-1458739135-203"/>
    <n v="0"/>
    <d v="2016-03-31T00:00:00"/>
    <x v="1130"/>
    <s v="203"/>
    <s v="SELL"/>
    <n v="3.395354838709677"/>
    <x v="0"/>
    <x v="0"/>
    <n v="526.28"/>
    <s v="Deal"/>
    <m/>
    <s v="Original Amount [EUR 155], Merchant Amount [EUR 155], Customer Amount [TRY 526.28], Status [APPROVED], Operation [3DAUTH], UUID [3631951-1458739135-203] [23/03/2016 at 13:18:00]"/>
  </r>
  <r>
    <s v="3631918-1458739099-82"/>
    <s v="Spot"/>
    <s v="3631918-1458739099-82"/>
    <n v="0"/>
    <d v="2016-03-31T00:00:00"/>
    <x v="11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31918-1458739099-82] [23/03/2016 at 13:18:00]"/>
  </r>
  <r>
    <s v="3631915-1458739097-200"/>
    <s v="Spot"/>
    <s v="3631915-1458739097-200"/>
    <n v="0"/>
    <d v="2016-03-31T00:00:00"/>
    <x v="1132"/>
    <s v="200"/>
    <s v="SELL"/>
    <n v="9.9662761414650163"/>
    <x v="0"/>
    <x v="1"/>
    <n v="2730.66"/>
    <s v="Deal"/>
    <m/>
    <s v="Original Amount [EUR 273.99], Merchant Amount [EUR 273.99], Customer Amount [NOK 2730.66], Status [APPROVED], Operation [STORED], UUID [3631915-1458739097-200] [23/03/2016 at 13:18:00]"/>
  </r>
  <r>
    <s v="3631933-1458739120-216"/>
    <s v="Spot"/>
    <s v="3631933-1458739120-216"/>
    <n v="0"/>
    <d v="2016-03-31T00:00:00"/>
    <x v="1133"/>
    <s v="216"/>
    <s v="SELL"/>
    <n v="3.3954881917518502"/>
    <x v="0"/>
    <x v="0"/>
    <n v="96.33"/>
    <s v="Deal"/>
    <m/>
    <s v="Original Amount [EUR 28.37], Merchant Amount [EUR 28.37], Customer Amount [TRY 96.33], Status [APPROVED], Operation [3DAUTH], UUID [3631933-1458739120-216] [23/03/2016 at 13:18:00]"/>
  </r>
  <r>
    <s v="3631990-1458739163-216"/>
    <s v="Spot"/>
    <s v="3631990-1458739163-216"/>
    <n v="0"/>
    <d v="2016-03-31T00:00:00"/>
    <x v="1134"/>
    <s v="216"/>
    <s v="SELL"/>
    <n v="3.3959670027497704"/>
    <x v="0"/>
    <x v="0"/>
    <n v="37.049999999999997"/>
    <s v="Deal"/>
    <m/>
    <s v="Original Amount [EUR 10.91], Merchant Amount [EUR 10.91], Customer Amount [TRY 37.05], Status [APPROVED], Operation [3DAUTH], UUID [3631990-1458739163-216] [23/03/2016 at 13:19:00]"/>
  </r>
  <r>
    <s v="3631891-1458739084-224"/>
    <s v="Spot"/>
    <s v="3631891-1458739084-224"/>
    <n v="0"/>
    <d v="2016-03-31T00:00:00"/>
    <x v="1135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1891-1458739084-224] [23/03/2016 at 13:18:00]"/>
  </r>
  <r>
    <s v="3631936-1458739120-203"/>
    <s v="Spot"/>
    <s v="3631936-1458739120-203"/>
    <n v="0"/>
    <d v="2016-03-31T00:00:00"/>
    <x v="1136"/>
    <s v="203"/>
    <s v="SELL"/>
    <n v="3.395483870967742"/>
    <x v="0"/>
    <x v="0"/>
    <n v="52.63"/>
    <s v="Deal"/>
    <m/>
    <s v="Original Amount [EUR 15.5], Merchant Amount [EUR 15.5], Customer Amount [TRY 52.63], Status [APPROVED], Operation [3DAUTH], UUID [3631936-1458739120-203] [23/03/2016 at 13:18:00]"/>
  </r>
  <r>
    <s v="3631858-1458739060-199"/>
    <s v="Spot"/>
    <s v="3631858-1458739060-199"/>
    <n v="0"/>
    <d v="2016-03-31T00:00:00"/>
    <x v="1137"/>
    <s v="199"/>
    <s v="SELL"/>
    <n v="9.9760589318600381"/>
    <x v="0"/>
    <x v="1"/>
    <n v="108.34"/>
    <s v="Deal"/>
    <m/>
    <s v="Original Amount [EUR 10.86], Merchant Amount [EUR 10.86], Customer Amount [NOK 108.34], Status [APPROVED], Operation [DIRECT], UUID [3631858-1458739060-199] [23/03/2016 at 13:17:00]"/>
  </r>
  <r>
    <s v="3631855-1458739048-145"/>
    <s v="Spot"/>
    <s v="3631855-1458739048-145"/>
    <n v="0"/>
    <d v="2016-03-31T00:00:00"/>
    <x v="1138"/>
    <s v="145"/>
    <s v="SELL"/>
    <n v="9.9754485363550529"/>
    <x v="0"/>
    <x v="1"/>
    <n v="211.28"/>
    <s v="Deal"/>
    <m/>
    <s v="Original Amount [EUR 21.18], Merchant Amount [EUR 21.18], Customer Amount [NOK 211.28], Status [APPROVED], Operation [DIRECT], UUID [3631855-1458739048-145] [23/03/2016 at 13:17:00]"/>
  </r>
  <r>
    <s v="3631849-1458739045-200"/>
    <s v="Spot"/>
    <s v="3631849-1458739045-200"/>
    <n v="0"/>
    <d v="2016-03-31T00:00:00"/>
    <x v="1139"/>
    <s v="200"/>
    <s v="SELL"/>
    <n v="9.9753634649309575"/>
    <x v="0"/>
    <x v="1"/>
    <n v="1639.85"/>
    <s v="Deal"/>
    <m/>
    <s v="Original Amount [EUR 164.39], Merchant Amount [EUR 164.39], Customer Amount [NOK 1639.85], Status [APPROVED], Operation [STORED], UUID [3631849-1458739045-200] [23/03/2016 at 13:17:00]"/>
  </r>
  <r>
    <s v="3631840-1458739036-261"/>
    <s v="Spot"/>
    <s v="3631840-1458739036-261"/>
    <n v="0"/>
    <d v="2016-03-31T00:00:00"/>
    <x v="1140"/>
    <s v="261"/>
    <s v="SELL"/>
    <n v="9.9753817388594577"/>
    <x v="0"/>
    <x v="1"/>
    <n v="320.11"/>
    <s v="Deal"/>
    <m/>
    <s v="Original Amount [EUR 32.09], Merchant Amount [EUR 32.09], Customer Amount [NOK 320.11], Status [APPROVED], Operation [DIRECT], UUID [3631840-1458739036-261] [23/03/2016 at 13:17:00]"/>
  </r>
  <r>
    <s v="3631807-1458739003-119"/>
    <s v="Spot"/>
    <s v="3631807-1458739003-119"/>
    <n v="0"/>
    <d v="2016-03-31T00:00:00"/>
    <x v="1141"/>
    <s v="119"/>
    <s v="SELL"/>
    <n v="9.9756"/>
    <x v="0"/>
    <x v="1"/>
    <n v="249.39"/>
    <s v="Deal"/>
    <m/>
    <s v="Original Amount [EUR 25], Merchant Amount [EUR 25], Customer Amount [NOK 249.39], Status [APPROVED], Operation [DIRECT], UUID [3631807-1458739003-119] [23/03/2016 at 13:16:00]"/>
  </r>
  <r>
    <s v="3631798-1458738994-145"/>
    <s v="Spot"/>
    <s v="3631798-1458738994-145"/>
    <n v="0"/>
    <d v="2016-03-31T00:00:00"/>
    <x v="1142"/>
    <s v="145"/>
    <s v="SELL"/>
    <n v="9.975471698113207"/>
    <x v="0"/>
    <x v="1"/>
    <n v="105.74"/>
    <s v="Deal"/>
    <m/>
    <s v="Original Amount [EUR 10.6], Merchant Amount [EUR 10.6], Customer Amount [NOK 105.74], Status [APPROVED], Operation [DIRECT], UUID [3631798-1458738994-145] [23/03/2016 at 13:16:00]"/>
  </r>
  <r>
    <s v="3631828-1458739022-56"/>
    <s v="Spot"/>
    <s v="3631828-1458739022-56"/>
    <n v="0"/>
    <d v="2016-03-31T00:00:00"/>
    <x v="1143"/>
    <s v="56"/>
    <s v="SELL"/>
    <n v="3.3922518159806292"/>
    <x v="0"/>
    <x v="0"/>
    <n v="98.07"/>
    <s v="Deal"/>
    <m/>
    <s v="Original Amount [EUR 28.91], Merchant Amount [EUR 28.91], Customer Amount [TRY 98.07], Status [APPROVED], Operation [3DAUTH], UUID [3631828-1458739022-56] [23/03/2016 at 13:17:00]"/>
  </r>
  <r>
    <s v="3631777-1458738976-125"/>
    <s v="Spot"/>
    <s v="3631777-1458738976-125"/>
    <n v="0"/>
    <d v="2016-03-31T00:00:00"/>
    <x v="1144"/>
    <s v="125"/>
    <s v="SELL"/>
    <n v="9.9754000000000005"/>
    <x v="0"/>
    <x v="1"/>
    <n v="498.77"/>
    <s v="Deal"/>
    <m/>
    <s v="Original Amount [EUR 50], Merchant Amount [EUR 50], Customer Amount [NOK 498.77], Status [APPROVED], Operation [DIRECT], UUID [3631777-1458738976-125] [23/03/2016 at 13:16:00]"/>
  </r>
  <r>
    <s v="3631801-1458738995-56"/>
    <s v="Spot"/>
    <s v="3631801-1458738995-56"/>
    <n v="0"/>
    <d v="2016-03-31T00:00:00"/>
    <x v="1145"/>
    <s v="56"/>
    <s v="SELL"/>
    <n v="3.3920515574650909"/>
    <x v="0"/>
    <x v="0"/>
    <n v="31.58"/>
    <s v="Deal"/>
    <m/>
    <s v="Original Amount [EUR 9.31], Merchant Amount [EUR 9.31], Customer Amount [TRY 31.58], Status [APPROVED], Operation [3DAUTH], UUID [3631801-1458738995-56] [23/03/2016 at 13:16:00]"/>
  </r>
  <r>
    <s v="3631834-1458739027-101"/>
    <s v="Spot"/>
    <s v="3631834-1458739027-101"/>
    <n v="0"/>
    <d v="2016-03-31T00:00:00"/>
    <x v="1146"/>
    <s v="101"/>
    <s v="SELL"/>
    <n v="3.3919717871590085"/>
    <x v="0"/>
    <x v="0"/>
    <n v="327.02"/>
    <s v="Deal"/>
    <m/>
    <s v="Original Amount [EUR 96.41], Merchant Amount [EUR 96.41], Customer Amount [TRY 327.02], Status [APPROVED], Operation [3DAUTH], UUID [3631834-1458739027-101] [23/03/2016 at 13:17:00]"/>
  </r>
  <r>
    <s v="3631789-1458738983-216"/>
    <s v="Spot"/>
    <s v="3631789-1458738983-216"/>
    <n v="0"/>
    <d v="2016-03-31T00:00:00"/>
    <x v="1147"/>
    <s v="216"/>
    <s v="SELL"/>
    <n v="3.3922386144964718"/>
    <x v="0"/>
    <x v="0"/>
    <n v="105.77"/>
    <s v="Deal"/>
    <m/>
    <s v="Original Amount [EUR 31.18], Merchant Amount [EUR 31.18], Customer Amount [TRY 105.77], Status [APPROVED], Operation [3DAUTH], UUID [3631789-1458738983-216] [23/03/2016 at 13:16:00]"/>
  </r>
  <r>
    <s v="3631750-1458738952-224"/>
    <s v="Spot"/>
    <s v="3631750-1458738952-224"/>
    <n v="0"/>
    <d v="2016-03-31T00:00:00"/>
    <x v="1148"/>
    <s v="224"/>
    <s v="SELL"/>
    <n v="132.99334116725421"/>
    <x v="0"/>
    <x v="3"/>
    <n v="3395.32"/>
    <s v="Deal"/>
    <m/>
    <s v="Original Amount [EUR 25.53], Merchant Amount [EUR 25.53], Customer Amount [JPY 3395.32], Status [APPROVED], Operation [DIRECT], UUID [3631750-1458738952-224] [23/03/2016 at 13:15:00]"/>
  </r>
  <r>
    <s v="3631747-1458738941-224"/>
    <s v="Spot"/>
    <s v="3631747-1458738941-224"/>
    <n v="0"/>
    <d v="2016-03-31T00:00:00"/>
    <x v="1149"/>
    <s v="224"/>
    <s v="SELL"/>
    <n v="9.9759704251386321"/>
    <x v="0"/>
    <x v="1"/>
    <n v="107.94"/>
    <s v="Deal"/>
    <m/>
    <s v="Original Amount [EUR 10.82], Merchant Amount [EUR 10.82], Customer Amount [NOK 107.94], Status [APPROVED], Operation [DIRECT], UUID [3631747-1458738941-224] [23/03/2016 at 13:15:00]"/>
  </r>
  <r>
    <s v="3631768-1458738964-216"/>
    <s v="Spot"/>
    <s v="3631768-1458738964-216"/>
    <n v="0"/>
    <d v="2016-03-31T00:00:00"/>
    <x v="1150"/>
    <s v="216"/>
    <s v="SELL"/>
    <n v="3.3925593329057087"/>
    <x v="0"/>
    <x v="0"/>
    <n v="52.89"/>
    <s v="Deal"/>
    <m/>
    <s v="Original Amount [EUR 15.59], Merchant Amount [EUR 15.59], Customer Amount [TRY 52.89], Status [APPROVED], Operation [3DAUTH], UUID [3631768-1458738964-216] [23/03/2016 at 13:16:00]"/>
  </r>
  <r>
    <s v="3631762-1458738962-56"/>
    <s v="Spot"/>
    <s v="3631762-1458738962-56"/>
    <n v="0"/>
    <d v="2016-03-31T00:00:00"/>
    <x v="1151"/>
    <s v="56"/>
    <s v="SELL"/>
    <n v="3.3923487544483986"/>
    <x v="0"/>
    <x v="0"/>
    <n v="38.130000000000003"/>
    <s v="Deal"/>
    <m/>
    <s v="Original Amount [EUR 11.24], Merchant Amount [EUR 11.24], Customer Amount [TRY 38.13], Status [APPROVED], Operation [3DAUTH], UUID [3631762-1458738962-56] [23/03/2016 at 13:16:00]"/>
  </r>
  <r>
    <s v="3631738-1458738934-199"/>
    <s v="Spot"/>
    <s v="3631738-1458738934-199"/>
    <n v="0"/>
    <d v="2016-03-31T00:00:00"/>
    <x v="1152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738-1458738934-199] [23/03/2016 at 13:15:00]"/>
  </r>
  <r>
    <s v="3631735-1458738929-199"/>
    <s v="Spot"/>
    <s v="3631735-1458738929-199"/>
    <n v="0"/>
    <d v="2016-03-31T00:00:00"/>
    <x v="1153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31735-1458738929-199] [23/03/2016 at 13:15:00]"/>
  </r>
  <r>
    <s v="3631702-1458738900-119"/>
    <s v="Spot"/>
    <s v="3631702-1458738900-119"/>
    <n v="0"/>
    <d v="2016-03-31T00:00:00"/>
    <x v="115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31702-1458738900-119] [23/03/2016 at 13:15:00]"/>
  </r>
  <r>
    <s v="3631732-1458738927-196"/>
    <s v="Spot"/>
    <s v="3631732-1458738927-196"/>
    <n v="0"/>
    <d v="2016-03-31T00:00:00"/>
    <x v="1155"/>
    <s v="196"/>
    <s v="SELL"/>
    <n v="9.9548192771084327"/>
    <x v="0"/>
    <x v="1"/>
    <n v="99.15"/>
    <s v="Deal"/>
    <m/>
    <s v="Original Amount [EUR 9.96], Merchant Amount [EUR 9.96], Customer Amount [NOK 99.15], Status [APPROVED], Operation [3DAUTH], UUID [3631732-1458738927-196] [23/03/2016 at 13:15:00]"/>
  </r>
  <r>
    <s v="3631684-1458738895-200"/>
    <s v="Spot"/>
    <s v="3631684-1458738895-200"/>
    <n v="0"/>
    <d v="2016-03-31T00:00:00"/>
    <x v="1156"/>
    <s v="200"/>
    <s v="SELL"/>
    <n v="9.9545893719806759"/>
    <x v="0"/>
    <x v="1"/>
    <n v="927.27"/>
    <s v="Deal"/>
    <m/>
    <s v="Original Amount [EUR 93.15], Merchant Amount [EUR 93.15], Customer Amount [NOK 927.27], Status [APPROVED], Operation [STORED], UUID [3631684-1458738895-200] [23/03/2016 at 13:14:00]"/>
  </r>
  <r>
    <s v="3631729-1458738924-216"/>
    <s v="Spot"/>
    <s v="3631729-1458738924-216"/>
    <n v="0"/>
    <d v="2016-03-31T00:00:00"/>
    <x v="11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729-1458738924-216] [23/03/2016 at 13:15:00]"/>
  </r>
  <r>
    <s v="3631663-1458738879-216"/>
    <s v="Spot"/>
    <s v="3631663-1458738879-216"/>
    <n v="0"/>
    <d v="2016-03-31T00:00:00"/>
    <x v="1158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663-1458738879-216] [23/03/2016 at 13:14:00]"/>
  </r>
  <r>
    <s v="3631714-1458738911-216"/>
    <s v="Spot"/>
    <s v="3631714-1458738911-216"/>
    <n v="0"/>
    <d v="2016-03-31T00:00:00"/>
    <x v="1159"/>
    <s v="216"/>
    <s v="SELL"/>
    <n v="3.3973627940128299"/>
    <x v="0"/>
    <x v="0"/>
    <n v="95.33"/>
    <s v="Deal"/>
    <m/>
    <s v="Original Amount [EUR 28.06], Merchant Amount [EUR 28.06], Customer Amount [TRY 95.33], Status [APPROVED], Operation [3DAUTH], UUID [3631714-1458738911-216] [23/03/2016 at 13:15:00]"/>
  </r>
  <r>
    <s v="3631648-1458738868-145"/>
    <s v="Spot"/>
    <s v="3631648-1458738868-145"/>
    <n v="0"/>
    <d v="2016-03-31T00:00:00"/>
    <x v="1160"/>
    <s v="145"/>
    <s v="SELL"/>
    <n v="1.544107785161251"/>
    <x v="0"/>
    <x v="2"/>
    <n v="253.28"/>
    <s v="Deal"/>
    <m/>
    <s v="Original Amount [EUR 164.03], Merchant Amount [EUR 164.03], Customer Amount [CAD 253.28], Status [WAITING], Operation [3D], UUID [3631648-1458738868-145] [23/03/2016 at 13:14:00]"/>
  </r>
  <r>
    <s v="3631717-1458738911-216"/>
    <s v="Spot"/>
    <s v="3631717-1458738911-216"/>
    <n v="0"/>
    <d v="2016-03-31T00:00:00"/>
    <x v="1161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717-1458738911-216] [23/03/2016 at 13:15:00]"/>
  </r>
  <r>
    <s v="3631681-1458738895-216"/>
    <s v="Spot"/>
    <s v="3631681-1458738895-216"/>
    <n v="0"/>
    <d v="2016-03-31T00:00:00"/>
    <x v="1162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681-1458738895-216] [23/03/2016 at 13:14:00]"/>
  </r>
  <r>
    <s v="3631630-1458738857-224"/>
    <s v="Spot"/>
    <s v="3631630-1458738857-224"/>
    <n v="0"/>
    <d v="2016-03-31T00:00:00"/>
    <x v="1163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31630-1458738857-224] [23/03/2016 at 13:14:00]"/>
  </r>
  <r>
    <s v="3631627-1458738856-82"/>
    <s v="Spot"/>
    <s v="3631627-1458738856-82"/>
    <n v="0"/>
    <d v="2016-03-31T00:00:00"/>
    <x v="1164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31627-1458738856-82] [23/03/2016 at 13:14:00]"/>
  </r>
  <r>
    <s v="3631615-1458738844-119"/>
    <s v="Spot"/>
    <s v="3631615-1458738844-119"/>
    <n v="0"/>
    <d v="2016-03-31T00:00:00"/>
    <x v="1165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31615-1458738844-119] [23/03/2016 at 13:14:00]"/>
  </r>
  <r>
    <s v="3631639-1458738865-216"/>
    <s v="Spot"/>
    <s v="3631639-1458738865-216"/>
    <n v="0"/>
    <d v="2016-03-31T00:00:00"/>
    <x v="1166"/>
    <s v="216"/>
    <s v="SELL"/>
    <n v="3.3973059653624116"/>
    <x v="0"/>
    <x v="0"/>
    <n v="264.82"/>
    <s v="Deal"/>
    <m/>
    <s v="Original Amount [EUR 77.95], Merchant Amount [EUR 77.95], Customer Amount [TRY 264.82], Status [APPROVED], Operation [3DAUTH], UUID [3631639-1458738865-216] [23/03/2016 at 13:14:00]"/>
  </r>
  <r>
    <s v="3631612-1458738842-216"/>
    <s v="Spot"/>
    <s v="3631612-1458738842-216"/>
    <n v="0"/>
    <d v="2016-03-31T00:00:00"/>
    <x v="1167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612-1458738842-216] [23/03/2016 at 13:14:00]"/>
  </r>
  <r>
    <s v="3631594-1458738807-241"/>
    <s v="Spot"/>
    <s v="3631594-1458738807-241"/>
    <n v="0"/>
    <d v="2016-03-31T00:00:00"/>
    <x v="1168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31594-1458738807-241] [23/03/2016 at 13:13:00]"/>
  </r>
  <r>
    <s v="3631591-1458738807-199"/>
    <s v="Spot"/>
    <s v="3631591-1458738807-199"/>
    <n v="0"/>
    <d v="2016-03-31T00:00:00"/>
    <x v="1169"/>
    <s v="199"/>
    <s v="SELL"/>
    <n v="9.9545872967167846"/>
    <x v="0"/>
    <x v="1"/>
    <n v="324.42"/>
    <s v="Deal"/>
    <m/>
    <s v="Original Amount [EUR 32.59], Merchant Amount [EUR 32.59], Customer Amount [NOK 324.42], Status [APPROVED], Operation [DIRECT], UUID [3631591-1458738807-199] [23/03/2016 at 13:13:00]"/>
  </r>
  <r>
    <s v="3631600-1458738819-107"/>
    <s v="Spot"/>
    <s v="3631600-1458738819-107"/>
    <n v="0"/>
    <d v="2016-03-31T00:00:00"/>
    <x v="1170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31600-1458738819-107] [23/03/2016 at 13:13:00]"/>
  </r>
  <r>
    <s v="3631585-1458738796-171"/>
    <s v="Spot"/>
    <s v="3631585-1458738796-171"/>
    <n v="0"/>
    <d v="2016-03-31T00:00:00"/>
    <x v="1171"/>
    <s v="171"/>
    <s v="SELL"/>
    <n v="9.9550000000000001"/>
    <x v="0"/>
    <x v="1"/>
    <n v="99.55"/>
    <s v="Deal"/>
    <m/>
    <s v="Original Amount [EUR 10], Merchant Amount [EUR 10], Customer Amount [NOK 99.55], Status [APPROVED], Operation [DIRECT], UUID [3631585-1458738796-171] [23/03/2016 at 13:13:00]"/>
  </r>
  <r>
    <s v="3631582-1458738794-224"/>
    <s v="Spot"/>
    <s v="3631582-1458738794-224"/>
    <n v="0"/>
    <d v="2016-03-31T00:00:00"/>
    <x v="1172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582-1458738794-224] [23/03/2016 at 13:13:00]"/>
  </r>
  <r>
    <s v="3631564-1458738786-200"/>
    <s v="Spot"/>
    <s v="3631564-1458738786-200"/>
    <n v="0"/>
    <d v="2016-03-31T00:00:00"/>
    <x v="1173"/>
    <s v="200"/>
    <s v="SELL"/>
    <n v="9.9546173500425841"/>
    <x v="0"/>
    <x v="1"/>
    <n v="818.17"/>
    <s v="Deal"/>
    <m/>
    <s v="Original Amount [EUR 82.19], Merchant Amount [EUR 82.19], Customer Amount [NOK 818.17], Status [APPROVED], Operation [STORED], UUID [3631564-1458738786-200] [23/03/2016 at 13:13:00]"/>
  </r>
  <r>
    <s v="3631549-1458738779-261"/>
    <s v="Spot"/>
    <s v="3631549-1458738779-261"/>
    <n v="0"/>
    <d v="2016-03-31T00:00:00"/>
    <x v="1174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49-1458738779-261] [23/03/2016 at 13:12:00]"/>
  </r>
  <r>
    <s v="3631543-1458738772-216"/>
    <s v="Spot"/>
    <s v="3631543-1458738772-216"/>
    <n v="0"/>
    <d v="2016-03-31T00:00:00"/>
    <x v="1175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43-1458738772-216] [23/03/2016 at 13:12:00]"/>
  </r>
  <r>
    <s v="3631537-1458738771-216"/>
    <s v="Spot"/>
    <s v="3631537-1458738771-216"/>
    <n v="0"/>
    <d v="2016-03-31T00:00:00"/>
    <x v="1176"/>
    <s v="216"/>
    <s v="SELL"/>
    <n v="3.3973701090442594"/>
    <x v="0"/>
    <x v="0"/>
    <n v="105.93"/>
    <s v="Deal"/>
    <m/>
    <s v="Original Amount [EUR 31.18], Merchant Amount [EUR 31.18], Customer Amount [TRY 105.93], Status [WAITING], Operation [3D], UUID [3631537-1458738771-216] [23/03/2016 at 13:12:00]"/>
  </r>
  <r>
    <s v="3631531-1458738769-261"/>
    <s v="Spot"/>
    <s v="3631531-1458738769-261"/>
    <n v="0"/>
    <d v="2016-03-31T00:00:00"/>
    <x v="1177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31531-1458738769-261] [23/03/2016 at 13:12:00]"/>
  </r>
  <r>
    <s v="3631528-1458738763-199"/>
    <s v="Spot"/>
    <s v="3631528-1458738763-199"/>
    <n v="0"/>
    <d v="2016-03-31T00:00:00"/>
    <x v="1178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31528-1458738763-199] [23/03/2016 at 13:12:00]"/>
  </r>
  <r>
    <s v="3631573-1458738791-216"/>
    <s v="Spot"/>
    <s v="3631573-1458738791-216"/>
    <n v="0"/>
    <d v="2016-03-31T00:00:00"/>
    <x v="1179"/>
    <s v="216"/>
    <s v="SELL"/>
    <n v="3.3977546110665595"/>
    <x v="0"/>
    <x v="0"/>
    <n v="42.37"/>
    <s v="Deal"/>
    <m/>
    <s v="Original Amount [EUR 12.47], Merchant Amount [EUR 12.47], Customer Amount [TRY 42.37], Status [APPROVED], Operation [3DAUTH], UUID [3631573-1458738791-216] [23/03/2016 at 13:13:00]"/>
  </r>
  <r>
    <s v="3631519-1458738750-224"/>
    <s v="Spot"/>
    <s v="3631519-1458738750-224"/>
    <n v="0"/>
    <d v="2016-03-31T00:00:00"/>
    <x v="118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519-1458738750-224] [23/03/2016 at 13:12:00]"/>
  </r>
  <r>
    <s v="3631513-1458738749-224"/>
    <s v="Spot"/>
    <s v="3631513-1458738749-224"/>
    <n v="0"/>
    <d v="2016-03-31T00:00:00"/>
    <x v="1181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31513-1458738749-224] [23/03/2016 at 13:12:00]"/>
  </r>
  <r>
    <s v="3631540-1458738772-216"/>
    <s v="Spot"/>
    <s v="3631540-1458738772-216"/>
    <n v="0"/>
    <d v="2016-03-31T00:00:00"/>
    <x v="11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540-1458738772-216] [23/03/2016 at 13:12:00]"/>
  </r>
  <r>
    <s v="3631555-1458738781-203"/>
    <s v="Spot"/>
    <s v="3631555-1458738781-203"/>
    <n v="0"/>
    <d v="2016-03-31T00:00:00"/>
    <x v="1183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1555-1458738781-203] [23/03/2016 at 13:13:00]"/>
  </r>
  <r>
    <s v="3631462-1458738717-199"/>
    <s v="Spot"/>
    <s v="3631462-1458738717-199"/>
    <n v="0"/>
    <d v="2016-03-31T00:00:00"/>
    <x v="1184"/>
    <s v="199"/>
    <s v="SELL"/>
    <n v="9.9756097560975618"/>
    <x v="0"/>
    <x v="1"/>
    <n v="216.77"/>
    <s v="Deal"/>
    <m/>
    <s v="Original Amount [EUR 21.73], Merchant Amount [EUR 21.73], Customer Amount [NOK 216.77], Status [APPROVED], Operation [DIRECT], UUID [3631462-1458738717-199] [23/03/2016 at 13:11:00]"/>
  </r>
  <r>
    <s v="3631489-1458738736-56"/>
    <s v="Spot"/>
    <s v="3631489-1458738736-56"/>
    <n v="0"/>
    <d v="2016-03-31T00:00:00"/>
    <x v="1185"/>
    <s v="56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31489-1458738736-56] [23/03/2016 at 13:12:00]"/>
  </r>
  <r>
    <s v="3631486-1458738736-216"/>
    <s v="Spot"/>
    <s v="3631486-1458738736-216"/>
    <n v="0"/>
    <d v="2016-03-31T00:00:00"/>
    <x v="1186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86-1458738736-216] [23/03/2016 at 13:12:00]"/>
  </r>
  <r>
    <s v="3631447-1458738709-199"/>
    <s v="Spot"/>
    <s v="3631447-1458738709-199"/>
    <n v="0"/>
    <d v="2016-03-31T00:00:00"/>
    <x v="1187"/>
    <s v="199"/>
    <s v="SELL"/>
    <n v="9.9754525928198827"/>
    <x v="0"/>
    <x v="1"/>
    <n v="325.10000000000002"/>
    <s v="Deal"/>
    <m/>
    <s v="Original Amount [EUR 32.59], Merchant Amount [EUR 32.59], Customer Amount [NOK 325.1], Status [APPROVED], Operation [DIRECT], UUID [3631447-1458738709-199] [23/03/2016 at 13:11:00]"/>
  </r>
  <r>
    <s v="3631510-1458738747-107"/>
    <s v="Spot"/>
    <s v="3631510-1458738747-107"/>
    <n v="0"/>
    <d v="2016-03-31T00:00:00"/>
    <x v="1188"/>
    <s v="107"/>
    <s v="SELL"/>
    <n v="3.3879922530664941"/>
    <x v="0"/>
    <x v="0"/>
    <n v="104.96"/>
    <s v="Deal"/>
    <m/>
    <s v="Original Amount [EUR 30.98], Merchant Amount [EUR 30.98], Customer Amount [TRY 104.96], Status [APPROVED], Operation [3DAUTH], UUID [3631510-1458738747-107] [23/03/2016 at 13:12:00]"/>
  </r>
  <r>
    <s v="3631504-1458738741-203"/>
    <s v="Spot"/>
    <s v="3631504-1458738741-203"/>
    <n v="0"/>
    <d v="2016-03-31T00:00:00"/>
    <x v="1189"/>
    <s v="203"/>
    <s v="SELL"/>
    <n v="3.3878299120234603"/>
    <x v="0"/>
    <x v="0"/>
    <n v="231.05"/>
    <s v="Deal"/>
    <m/>
    <s v="Original Amount [EUR 68.2], Merchant Amount [EUR 68.2], Customer Amount [TRY 231.05], Status [APPROVED], Operation [3DAUTH], UUID [3631504-1458738741-203] [23/03/2016 at 13:12:00]"/>
  </r>
  <r>
    <s v="3631432-1458738698-216"/>
    <s v="Spot"/>
    <s v="3631432-1458738698-216"/>
    <n v="0"/>
    <d v="2016-03-31T00:00:00"/>
    <x v="1190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32-1458738698-216] [23/03/2016 at 13:11:00]"/>
  </r>
  <r>
    <s v="3631516-1458738750-56"/>
    <s v="Spot"/>
    <s v="3631516-1458738750-56"/>
    <n v="0"/>
    <d v="2016-03-31T00:00:00"/>
    <x v="1191"/>
    <s v="56"/>
    <s v="SELL"/>
    <n v="3.387920298879203"/>
    <x v="0"/>
    <x v="0"/>
    <n v="54.41"/>
    <s v="Deal"/>
    <m/>
    <s v="Original Amount [EUR 16.06], Merchant Amount [EUR 16.06], Customer Amount [TRY 54.41], Status [APPROVED], Operation [3DAUTH], UUID [3631516-1458738750-56] [23/03/2016 at 13:12:00]"/>
  </r>
  <r>
    <s v="3631417-1458738685-187"/>
    <s v="Spot"/>
    <s v="3631417-1458738685-187"/>
    <n v="0"/>
    <d v="2016-03-31T00:00:00"/>
    <x v="1192"/>
    <s v="187"/>
    <s v="SELL"/>
    <n v="9.9753812009370773"/>
    <x v="0"/>
    <x v="1"/>
    <n v="2427.11"/>
    <s v="Deal"/>
    <m/>
    <s v="Original Amount [EUR 243.31], Merchant Amount [EUR 243.31], Customer Amount [NOK 2427.11], Status [APPROVED], Operation [DIRECT], UUID [3631417-1458738685-187] [23/03/2016 at 13:11:00]"/>
  </r>
  <r>
    <s v="3631414-1458738682-216"/>
    <s v="Spot"/>
    <s v="3631414-1458738682-216"/>
    <n v="0"/>
    <d v="2016-03-31T00:00:00"/>
    <x v="1193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414-1458738682-216] [23/03/2016 at 13:11:00]"/>
  </r>
  <r>
    <s v="3631468-1458738726-216"/>
    <s v="Spot"/>
    <s v="3631468-1458738726-216"/>
    <n v="0"/>
    <d v="2016-03-31T00:00:00"/>
    <x v="1194"/>
    <s v="216"/>
    <s v="SELL"/>
    <n v="3.3880692751763952"/>
    <x v="0"/>
    <x v="0"/>
    <n v="52.82"/>
    <s v="Deal"/>
    <m/>
    <s v="Original Amount [EUR 15.59], Merchant Amount [EUR 15.59], Customer Amount [TRY 52.82], Status [APPROVED], Operation [3DAUTH], UUID [3631468-1458738726-216] [23/03/2016 at 13:12:00]"/>
  </r>
  <r>
    <s v="3631387-1458738647-261"/>
    <s v="Spot"/>
    <s v="3631387-1458738647-261"/>
    <n v="0"/>
    <d v="2016-03-31T00:00:00"/>
    <x v="1195"/>
    <s v="261"/>
    <s v="SELL"/>
    <n v="9.9753610875106205"/>
    <x v="0"/>
    <x v="1"/>
    <n v="117.41"/>
    <s v="Deal"/>
    <m/>
    <s v="Original Amount [EUR 11.77], Merchant Amount [EUR 11.77], Customer Amount [NOK 117.41], Status [APPROVED], Operation [DIRECT], UUID [3631387-1458738647-261] [23/03/2016 at 13:10:00]"/>
  </r>
  <r>
    <s v="3631408-1458738670-216"/>
    <s v="Spot"/>
    <s v="3631408-1458738670-216"/>
    <n v="0"/>
    <d v="2016-03-31T00:00:00"/>
    <x v="1196"/>
    <s v="216"/>
    <s v="SELL"/>
    <n v="3.3878554629035702"/>
    <x v="0"/>
    <x v="0"/>
    <n v="316.89999999999998"/>
    <s v="Deal"/>
    <m/>
    <s v="Original Amount [EUR 93.54], Merchant Amount [EUR 93.54], Customer Amount [TRY 316.9], Status [APPROVED], Operation [3DAUTH], UUID [3631408-1458738670-216] [23/03/2016 at 13:11:00]"/>
  </r>
  <r>
    <s v="3631381-1458738640-82"/>
    <s v="Spot"/>
    <s v="3631381-1458738640-82"/>
    <n v="0"/>
    <d v="2016-03-31T00:00:00"/>
    <x v="119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31381-1458738640-82] [23/03/2016 at 13:10:00]"/>
  </r>
  <r>
    <s v="3631375-1458738634-119"/>
    <s v="Spot"/>
    <s v="3631375-1458738634-119"/>
    <n v="0"/>
    <d v="2016-03-31T00:00:00"/>
    <x v="1198"/>
    <s v="119"/>
    <s v="SELL"/>
    <n v="9.9756"/>
    <x v="0"/>
    <x v="1"/>
    <n v="249.39"/>
    <s v="Deal"/>
    <m/>
    <s v="Original Amount [EUR 25], Merchant Amount [EUR 25], Customer Amount [NOK 249.39], Status [APPROVED], Operation [DIRECT], UUID [3631375-1458738634-119] [23/03/2016 at 13:10:00]"/>
  </r>
  <r>
    <s v="3631402-1458738661-107"/>
    <s v="Spot"/>
    <s v="3631402-1458738661-107"/>
    <n v="0"/>
    <d v="2016-03-31T00:00:00"/>
    <x v="1199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402-1458738661-107] [23/03/2016 at 13:11:00]"/>
  </r>
  <r>
    <s v="3631378-1458738639-203"/>
    <s v="Spot"/>
    <s v="3631378-1458738639-203"/>
    <n v="0"/>
    <d v="2016-03-31T00:00:00"/>
    <x v="1200"/>
    <s v="203"/>
    <s v="SELL"/>
    <n v="3.3878709677419354"/>
    <x v="0"/>
    <x v="0"/>
    <n v="525.12"/>
    <s v="Deal"/>
    <m/>
    <s v="Original Amount [EUR 155], Merchant Amount [EUR 155], Customer Amount [TRY 525.12], Status [APPROVED], Operation [3DAUTH], UUID [3631378-1458738639-203] [23/03/2016 at 13:10:00]"/>
  </r>
  <r>
    <s v="3631372-1458738625-145"/>
    <s v="Spot"/>
    <s v="3631372-1458738625-145"/>
    <n v="0"/>
    <d v="2016-03-31T00:00:00"/>
    <x v="1201"/>
    <s v="145"/>
    <s v="SELL"/>
    <n v="1.5436055019022532"/>
    <x v="0"/>
    <x v="2"/>
    <n v="105.49"/>
    <s v="Deal"/>
    <m/>
    <s v="Original Amount [EUR 68.34], Merchant Amount [EUR 68.34], Customer Amount [CAD 105.49], Status [APPROVED], Operation [3DAUTH], UUID [3631372-1458738625-145] [23/03/2016 at 13:10:00]"/>
  </r>
  <r>
    <s v="3631348-1458738608-99"/>
    <s v="Spot"/>
    <s v="3631348-1458738608-99"/>
    <n v="0"/>
    <d v="2016-03-31T00:00:00"/>
    <x v="1202"/>
    <s v="99"/>
    <s v="SELL"/>
    <n v="9.9754000000000005"/>
    <x v="0"/>
    <x v="1"/>
    <n v="997.54"/>
    <s v="Deal"/>
    <m/>
    <s v="Original Amount [EUR 100], Merchant Amount [EUR 100], Customer Amount [NOK 997.54], Status [APPROVED], Operation [DIRECT], UUID [3631348-1458738608-99] [23/03/2016 at 13:10:00]"/>
  </r>
  <r>
    <s v="3631366-1458738618-212"/>
    <s v="Spot"/>
    <s v="3631366-1458738618-212"/>
    <n v="0"/>
    <d v="2016-03-31T00:00:00"/>
    <x v="1203"/>
    <s v="212"/>
    <s v="SELL"/>
    <n v="0.83299999999999996"/>
    <x v="0"/>
    <x v="4"/>
    <n v="16.66"/>
    <s v="Deal"/>
    <m/>
    <s v="Original Amount [EUR 20], Merchant Amount [EUR 20], Customer Amount [GBP 16.66], Status [APPROVED], Operation [3DAUTH], UUID [3631366-1458738618-212] [23/03/2016 at 13:10:00]"/>
  </r>
  <r>
    <s v="3631339-1458738603-224"/>
    <s v="Spot"/>
    <s v="3631339-1458738603-224"/>
    <n v="0"/>
    <d v="2016-03-31T00:00:00"/>
    <x v="1204"/>
    <s v="224"/>
    <s v="SELL"/>
    <n v="9.9755083179297603"/>
    <x v="0"/>
    <x v="1"/>
    <n v="215.87"/>
    <s v="Deal"/>
    <m/>
    <s v="Original Amount [EUR 21.64], Merchant Amount [EUR 21.64], Customer Amount [NOK 215.87], Status [APPROVED], Operation [DIRECT], UUID [3631339-1458738603-224] [23/03/2016 at 13:10:00]"/>
  </r>
  <r>
    <s v="3631345-1458738607-107"/>
    <s v="Spot"/>
    <s v="3631345-1458738607-107"/>
    <n v="0"/>
    <d v="2016-03-31T00:00:00"/>
    <x v="1205"/>
    <s v="107"/>
    <s v="SELL"/>
    <n v="3.3879922530664941"/>
    <x v="0"/>
    <x v="0"/>
    <n v="52.48"/>
    <s v="Deal"/>
    <m/>
    <s v="Original Amount [EUR 15.49], Merchant Amount [EUR 15.49], Customer Amount [TRY 52.48], Status [APPROVED], Operation [3DAUTH], UUID [3631345-1458738607-107] [23/03/2016 at 13:10:00]"/>
  </r>
  <r>
    <s v="3631315-1458738562-145"/>
    <s v="Spot"/>
    <s v="3631315-1458738562-145"/>
    <n v="0"/>
    <d v="2016-03-31T00:00:00"/>
    <x v="1206"/>
    <s v="145"/>
    <s v="SELL"/>
    <n v="9.9755691282620749"/>
    <x v="0"/>
    <x v="1"/>
    <n v="179.66"/>
    <s v="Deal"/>
    <m/>
    <s v="Original Amount [EUR 18.01], Merchant Amount [EUR 18.01], Customer Amount [NOK 179.66], Status [APPROVED], Operation [DIRECT], UUID [3631315-1458738562-145] [23/03/2016 at 13:09:00]"/>
  </r>
  <r>
    <s v="3631309-1458738550-216"/>
    <s v="Spot"/>
    <s v="3631309-1458738550-216"/>
    <n v="0"/>
    <d v="2016-03-31T00:00:00"/>
    <x v="1207"/>
    <s v="216"/>
    <s v="SELL"/>
    <n v="3.3880692751763952"/>
    <x v="0"/>
    <x v="0"/>
    <n v="105.64"/>
    <s v="Deal"/>
    <m/>
    <s v="Original Amount [EUR 31.18], Merchant Amount [EUR 31.18], Customer Amount [TRY 105.64], Status [WAITING], Operation [3D], UUID [3631309-1458738550-216] [23/03/2016 at 13:09:00]"/>
  </r>
  <r>
    <s v="3631333-1458738585-216"/>
    <s v="Spot"/>
    <s v="3631333-1458738585-216"/>
    <n v="0"/>
    <d v="2016-03-31T00:00:00"/>
    <x v="1208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1333-1458738585-216] [23/03/2016 at 13:09:00]"/>
  </r>
  <r>
    <s v="3631282-1458738532-224"/>
    <s v="Spot"/>
    <s v="3631282-1458738532-224"/>
    <n v="0"/>
    <d v="2016-03-31T00:00:00"/>
    <x v="1209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31282-1458738532-224] [23/03/2016 at 13:08:00]"/>
  </r>
  <r>
    <s v="3631279-1458738531-119"/>
    <s v="Spot"/>
    <s v="3631279-1458738531-119"/>
    <n v="0"/>
    <d v="2016-03-31T00:00:00"/>
    <x v="1210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1279-1458738531-119] [23/03/2016 at 13:08:00]"/>
  </r>
  <r>
    <s v="3631273-1458738529-199"/>
    <s v="Spot"/>
    <s v="3631273-1458738529-199"/>
    <n v="0"/>
    <d v="2016-03-31T00:00:00"/>
    <x v="1211"/>
    <s v="199"/>
    <s v="SELL"/>
    <n v="9.954590083456063"/>
    <x v="0"/>
    <x v="1"/>
    <n v="1622.2"/>
    <s v="Deal"/>
    <m/>
    <s v="Original Amount [EUR 162.96], Merchant Amount [EUR 162.96], Customer Amount [NOK 1622.2], Status [APPROVED], Operation [DIRECT], UUID [3631273-1458738529-199] [23/03/2016 at 13:08:00]"/>
  </r>
  <r>
    <s v="3631267-1458738525-82"/>
    <s v="Spot"/>
    <s v="3631267-1458738525-82"/>
    <n v="0"/>
    <d v="2016-03-31T00:00:00"/>
    <x v="1212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1267-1458738525-82] [23/03/2016 at 13:08:00]"/>
  </r>
  <r>
    <s v="3631324-1458738571-56"/>
    <s v="Spot"/>
    <s v="3631324-1458738571-56"/>
    <n v="0"/>
    <d v="2016-03-31T00:00:00"/>
    <x v="1213"/>
    <s v="56"/>
    <s v="SELL"/>
    <n v="3.397230434106115"/>
    <x v="0"/>
    <x v="0"/>
    <n v="436.68"/>
    <s v="Deal"/>
    <m/>
    <s v="Original Amount [EUR 128.54], Merchant Amount [EUR 128.54], Customer Amount [TRY 436.68], Status [APPROVED], Operation [3DAUTH], UUID [3631324-1458738571-56] [23/03/2016 at 13:09:00]"/>
  </r>
  <r>
    <s v="3631285-1458738533-216"/>
    <s v="Spot"/>
    <s v="3631285-1458738533-216"/>
    <n v="0"/>
    <d v="2016-03-31T00:00:00"/>
    <x v="1214"/>
    <s v="216"/>
    <s v="SELL"/>
    <n v="3.3976179569399911"/>
    <x v="0"/>
    <x v="0"/>
    <n v="74.17"/>
    <s v="Deal"/>
    <m/>
    <s v="Original Amount [EUR 21.83], Merchant Amount [EUR 21.83], Customer Amount [TRY 74.17], Status [APPROVED], Operation [3DAUTH], UUID [3631285-1458738533-216] [23/03/2016 at 13:08:00]"/>
  </r>
  <r>
    <s v="3631249-1458738504-199"/>
    <s v="Spot"/>
    <s v="3631249-1458738504-199"/>
    <n v="0"/>
    <d v="2016-03-31T00:00:00"/>
    <x v="1215"/>
    <s v="199"/>
    <s v="SELL"/>
    <n v="9.9547606522882681"/>
    <x v="0"/>
    <x v="1"/>
    <n v="378.48"/>
    <s v="Deal"/>
    <m/>
    <s v="Original Amount [EUR 38.02], Merchant Amount [EUR 38.02], Customer Amount [NOK 378.48], Status [APPROVED], Operation [DIRECT], UUID [3631249-1458738504-199] [23/03/2016 at 13:08:00]"/>
  </r>
  <r>
    <s v="3631276-1458738530-216"/>
    <s v="Spot"/>
    <s v="3631276-1458738530-216"/>
    <n v="0"/>
    <d v="2016-03-31T00:00:00"/>
    <x v="1216"/>
    <s v="216"/>
    <s v="SELL"/>
    <n v="3.3972632029078462"/>
    <x v="0"/>
    <x v="0"/>
    <n v="317.77999999999997"/>
    <s v="Deal"/>
    <m/>
    <s v="Original Amount [EUR 93.54], Merchant Amount [EUR 93.54], Customer Amount [TRY 317.78], Status [APPROVED], Operation [3DAUTH], UUID [3631276-1458738530-216] [23/03/2016 at 13:08:00]"/>
  </r>
  <r>
    <s v="3631258-1458738515-136"/>
    <s v="Spot"/>
    <s v="3631258-1458738515-136"/>
    <n v="0"/>
    <d v="2016-03-31T00:00:00"/>
    <x v="1217"/>
    <s v="136"/>
    <s v="SELL"/>
    <n v="3.3974193548387093"/>
    <x v="0"/>
    <x v="0"/>
    <n v="52.66"/>
    <s v="Deal"/>
    <m/>
    <s v="Original Amount [EUR 15.5], Merchant Amount [EUR 15.5], Customer Amount [TRY 52.66], Status [APPROVED], Operation [3DAUTH], UUID [3631258-1458738515-136] [23/03/2016 at 13:08:00]"/>
  </r>
  <r>
    <s v="3631210-1458738468-224"/>
    <s v="Spot"/>
    <s v="3631210-1458738468-224"/>
    <n v="0"/>
    <d v="2016-03-31T00:00:00"/>
    <x v="1218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31210-1458738468-224] [23/03/2016 at 13:07:00]"/>
  </r>
  <r>
    <s v="3631207-1458738464-82"/>
    <s v="Spot"/>
    <s v="3631207-1458738464-82"/>
    <n v="0"/>
    <d v="2016-03-31T00:00:00"/>
    <x v="1219"/>
    <s v="82"/>
    <s v="SELL"/>
    <n v="1.1848341232227488"/>
    <x v="0"/>
    <x v="7"/>
    <n v="17.5"/>
    <s v="Deal"/>
    <m/>
    <s v="Original Amount [USD 17.5], Merchant Amount [EUR 14.77], Customer Amount [USD 17.5], Status [APPROVED], Operation [DIRECT], UUID [3631207-1458738464-82] [23/03/2016 at 13:07:00]"/>
  </r>
  <r>
    <s v="3631204-1458738462-200"/>
    <s v="Spot"/>
    <s v="3631204-1458738462-200"/>
    <n v="0"/>
    <d v="2016-03-31T00:00:00"/>
    <x v="1220"/>
    <s v="200"/>
    <s v="SELL"/>
    <n v="9.9550000000000001"/>
    <x v="0"/>
    <x v="1"/>
    <n v="199.1"/>
    <s v="Deal"/>
    <m/>
    <s v="Original Amount [EUR 20], Merchant Amount [EUR 20], Customer Amount [NOK 199.1], Status [APPROVED], Operation [STORED], UUID [3631204-1458738462-200] [23/03/2016 at 13:07:00]"/>
  </r>
  <r>
    <s v="3631198-1458738455-82"/>
    <s v="Spot"/>
    <s v="3631198-1458738455-82"/>
    <n v="0"/>
    <d v="2016-03-31T00:00:00"/>
    <x v="1221"/>
    <s v="82"/>
    <s v="SELL"/>
    <n v="0.83613445378151252"/>
    <x v="0"/>
    <x v="4"/>
    <n v="9.9499999999999993"/>
    <s v="Deal"/>
    <m/>
    <s v="Original Amount [GBP 9.95], Merchant Amount [EUR 11.9], Customer Amount [GBP 9.95], Status [APPROVED], Operation [DIRECT], UUID [3631198-1458738455-82] [23/03/2016 at 13:07:00]"/>
  </r>
  <r>
    <s v="3631240-1458738489-216"/>
    <s v="Spot"/>
    <s v="3631240-1458738489-216"/>
    <n v="0"/>
    <d v="2016-03-31T00:00:00"/>
    <x v="1222"/>
    <s v="216"/>
    <s v="SELL"/>
    <n v="3.3976908274534958"/>
    <x v="0"/>
    <x v="0"/>
    <n v="52.97"/>
    <s v="Deal"/>
    <m/>
    <s v="Original Amount [EUR 15.59], Merchant Amount [EUR 15.59], Customer Amount [TRY 52.97], Status [APPROVED], Operation [3DAUTH], UUID [3631240-1458738489-216] [23/03/2016 at 13:08:00]"/>
  </r>
  <r>
    <s v="3631222-1458738480-264"/>
    <s v="Spot"/>
    <s v="3631222-145873848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APPROVED], Operation [3DAUTH], UUID [3631222-1458738480-264] [23/03/2016 at 13:08:00]"/>
  </r>
  <r>
    <s v="3631174-1458738431-95"/>
    <s v="Spot"/>
    <s v="3631174-1458738431-95"/>
    <n v="0"/>
    <d v="2016-03-31T00:00:00"/>
    <x v="1224"/>
    <s v="95"/>
    <s v="SELL"/>
    <n v="1.4941690962099126"/>
    <x v="0"/>
    <x v="2"/>
    <n v="10.25"/>
    <s v="Deal"/>
    <m/>
    <s v="Original Amount [CAD 10.25], Merchant Amount [EUR 6.86], Customer Amount [CAD 10.25], Status [APPROVED], Operation [DIRECT], UUID [3631174-1458738431-95] [23/03/2016 at 13:07:00]"/>
  </r>
  <r>
    <s v="3631171-1458738430-264"/>
    <s v="Spot"/>
    <s v="3631171-1458738430-264"/>
    <n v="0"/>
    <d v="2016-03-31T00:00:00"/>
    <x v="1223"/>
    <s v="264"/>
    <s v="SELL"/>
    <n v="3.3937621832358675"/>
    <x v="0"/>
    <x v="0"/>
    <n v="34.82"/>
    <s v="Deal"/>
    <m/>
    <s v="Original Amount [TRY 33], Merchant Amount [EUR 10.26], Customer Amount [TRY 34.82], Status [WAITING], Operation [3D], UUID [3631171-1458738430-264] [23/03/2016 at 13:07:00]"/>
  </r>
  <r>
    <s v="3631165-1458738421-119"/>
    <s v="Spot"/>
    <s v="3631165-1458738421-119"/>
    <n v="0"/>
    <d v="2016-03-31T00:00:00"/>
    <x v="1225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31165-1458738421-119] [23/03/2016 at 13:07:00]"/>
  </r>
  <r>
    <s v="3631195-1458738454-216"/>
    <s v="Spot"/>
    <s v="3631195-1458738454-216"/>
    <n v="0"/>
    <d v="2016-03-31T00:00:00"/>
    <x v="1226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195-1458738454-216] [23/03/2016 at 13:07:00]"/>
  </r>
  <r>
    <s v="3631150-1458738389-224"/>
    <s v="Spot"/>
    <s v="3631150-1458738389-224"/>
    <n v="0"/>
    <d v="2016-03-31T00:00:00"/>
    <x v="1227"/>
    <s v="224"/>
    <s v="SELL"/>
    <n v="133.03767255837957"/>
    <x v="0"/>
    <x v="3"/>
    <n v="10311.75"/>
    <s v="Deal"/>
    <m/>
    <s v="Original Amount [EUR 77.51], Merchant Amount [EUR 77.51], Customer Amount [JPY 10311.75], Status [APPROVED], Operation [DIRECT], UUID [3631150-1458738389-224] [23/03/2016 at 13:06:00]"/>
  </r>
  <r>
    <s v="3631144-1458738383-200"/>
    <s v="Spot"/>
    <s v="3631144-1458738383-200"/>
    <n v="0"/>
    <d v="2016-03-31T00:00:00"/>
    <x v="1228"/>
    <s v="200"/>
    <s v="SELL"/>
    <n v="9.9546491468199658"/>
    <x v="0"/>
    <x v="1"/>
    <n v="1090.93"/>
    <s v="Deal"/>
    <m/>
    <s v="Original Amount [EUR 109.59], Merchant Amount [EUR 109.59], Customer Amount [NOK 1090.93], Status [APPROVED], Operation [STORED], UUID [3631144-1458738383-200] [23/03/2016 at 13:06:00]"/>
  </r>
  <r>
    <s v="3631156-1458738402-216"/>
    <s v="Spot"/>
    <s v="3631156-1458738402-216"/>
    <n v="0"/>
    <d v="2016-03-31T00:00:00"/>
    <x v="1229"/>
    <s v="216"/>
    <s v="SELL"/>
    <n v="3.3976676384839655"/>
    <x v="0"/>
    <x v="0"/>
    <n v="58.27"/>
    <s v="Deal"/>
    <m/>
    <s v="Original Amount [EUR 17.15], Merchant Amount [EUR 17.15], Customer Amount [TRY 58.27], Status [APPROVED], Operation [3DAUTH], UUID [3631156-1458738402-216] [23/03/2016 at 13:06:00]"/>
  </r>
  <r>
    <s v="3631120-1458738362-82"/>
    <s v="Spot"/>
    <s v="3631120-1458738362-82"/>
    <n v="0"/>
    <d v="2016-03-31T00:00:00"/>
    <x v="1230"/>
    <s v="82"/>
    <s v="SELL"/>
    <n v="1.1840120663650078"/>
    <x v="0"/>
    <x v="7"/>
    <n v="54.95"/>
    <s v="Deal"/>
    <m/>
    <s v="Original Amount [USD 54.95], Merchant Amount [EUR 46.41], Customer Amount [USD 54.95], Status [APPROVED], Operation [DIRECT], UUID [3631120-1458738362-82] [23/03/2016 at 13:06:00]"/>
  </r>
  <r>
    <s v="3631114-1458738351-145"/>
    <s v="Spot"/>
    <s v="3631114-1458738351-145"/>
    <n v="0"/>
    <d v="2016-03-31T00:00:00"/>
    <x v="1231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1114-1458738351-145] [23/03/2016 at 13:05:00]"/>
  </r>
  <r>
    <s v="3631111-1458738346-199"/>
    <s v="Spot"/>
    <s v="3631111-1458738346-199"/>
    <n v="0"/>
    <d v="2016-03-31T00:00:00"/>
    <x v="1232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1111-1458738346-199] [23/03/2016 at 13:05:00]"/>
  </r>
  <r>
    <s v="3631108-1458738345-224"/>
    <s v="Spot"/>
    <s v="3631108-1458738345-224"/>
    <n v="0"/>
    <d v="2016-03-31T00:00:00"/>
    <x v="1233"/>
    <s v="224"/>
    <s v="SELL"/>
    <n v="9.9505682343158082"/>
    <x v="0"/>
    <x v="1"/>
    <n v="1076.95"/>
    <s v="Deal"/>
    <m/>
    <s v="Original Amount [EUR 108.23], Merchant Amount [EUR 108.23], Customer Amount [NOK 1076.95], Status [APPROVED], Operation [DIRECT], UUID [3631108-1458738345-224] [23/03/2016 at 13:05:00]"/>
  </r>
  <r>
    <s v="3631093-1458738335-224"/>
    <s v="Spot"/>
    <s v="3631093-1458738335-224"/>
    <n v="0"/>
    <d v="2016-03-31T00:00:00"/>
    <x v="1234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31093-1458738335-224] [23/03/2016 at 13:05:00]"/>
  </r>
  <r>
    <s v="3631090-1458738335-187"/>
    <s v="Spot"/>
    <s v="3631090-1458738335-187"/>
    <n v="0"/>
    <d v="2016-03-31T00:00:00"/>
    <x v="1235"/>
    <s v="187"/>
    <s v="SELL"/>
    <n v="9.9506302521008401"/>
    <x v="0"/>
    <x v="1"/>
    <n v="473.65"/>
    <s v="Deal"/>
    <m/>
    <s v="Original Amount [EUR 47.6], Merchant Amount [EUR 47.6], Customer Amount [NOK 473.65], Status [APPROVED], Operation [DIRECT], UUID [3631090-1458738335-187] [23/03/2016 at 13:05:00]"/>
  </r>
  <r>
    <s v="3631087-1458738324-126"/>
    <s v="Spot"/>
    <s v="3631087-1458738324-126"/>
    <n v="0"/>
    <d v="2016-03-31T00:00:00"/>
    <x v="1236"/>
    <s v="126"/>
    <s v="SELL"/>
    <n v="9.9512195121951219"/>
    <x v="0"/>
    <x v="1"/>
    <n v="122.4"/>
    <s v="Deal"/>
    <m/>
    <s v="Original Amount [EUR 12.3], Merchant Amount [EUR 12.3], Customer Amount [NOK 122.4], Status [APPROVED], Operation [DIRECT], UUID [3631087-1458738324-126] [23/03/2016 at 13:05:00]"/>
  </r>
  <r>
    <s v="3631084-1458738321-224"/>
    <s v="Spot"/>
    <s v="3631084-1458738321-224"/>
    <n v="0"/>
    <d v="2016-03-31T00:00:00"/>
    <x v="123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31084-1458738321-224] [23/03/2016 at 13:05:00]"/>
  </r>
  <r>
    <s v="3631081-1458738318-224"/>
    <s v="Spot"/>
    <s v="3631081-1458738318-224"/>
    <n v="0"/>
    <d v="2016-03-31T00:00:00"/>
    <x v="1238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31081-1458738318-224] [23/03/2016 at 13:05:00]"/>
  </r>
  <r>
    <s v="3631075-1458738308-82"/>
    <s v="Spot"/>
    <s v="3631075-1458738308-82"/>
    <n v="0"/>
    <d v="2016-03-31T00:00:00"/>
    <x v="1239"/>
    <s v="82"/>
    <s v="SELL"/>
    <n v="1.1838681699913269"/>
    <x v="0"/>
    <x v="7"/>
    <n v="40.950000000000003"/>
    <s v="Deal"/>
    <m/>
    <s v="Original Amount [USD 40.95], Merchant Amount [EUR 34.59], Customer Amount [USD 40.95], Status [APPROVED], Operation [DIRECT], UUID [3631075-1458738308-82] [23/03/2016 at 13:05:00]"/>
  </r>
  <r>
    <s v="3631078-1458738309-216"/>
    <s v="Spot"/>
    <s v="3631078-1458738309-216"/>
    <n v="0"/>
    <d v="2016-03-31T00:00:00"/>
    <x v="124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78-1458738309-216] [23/03/2016 at 13:05:00]"/>
  </r>
  <r>
    <s v="3631099-1458738342-196"/>
    <s v="Spot"/>
    <s v="3631099-1458738342-196"/>
    <n v="0"/>
    <d v="2016-03-31T00:00:00"/>
    <x v="1241"/>
    <s v="196"/>
    <s v="SELL"/>
    <n v="9.95056270096463"/>
    <x v="0"/>
    <x v="1"/>
    <n v="495.14"/>
    <s v="Deal"/>
    <m/>
    <s v="Original Amount [EUR 49.76], Merchant Amount [EUR 49.76], Customer Amount [NOK 495.14], Status [APPROVED], Operation [3DAUTH], UUID [3631099-1458738342-196] [23/03/2016 at 13:05:00]"/>
  </r>
  <r>
    <s v="3631036-1458738243-119"/>
    <s v="Spot"/>
    <s v="3631036-1458738243-119"/>
    <n v="0"/>
    <d v="2016-03-31T00:00:00"/>
    <x v="1242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1036-1458738243-119] [23/03/2016 at 13:04:00]"/>
  </r>
  <r>
    <s v="3631045-1458738259-216"/>
    <s v="Spot"/>
    <s v="3631045-1458738259-216"/>
    <n v="0"/>
    <d v="2016-03-31T00:00:00"/>
    <x v="124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31045-1458738259-216] [23/03/2016 at 13:04:00]"/>
  </r>
  <r>
    <s v="3631021-1458738231-203"/>
    <s v="Spot"/>
    <s v="3631021-1458738231-203"/>
    <n v="0"/>
    <d v="2016-03-31T00:00:00"/>
    <x v="1244"/>
    <s v="203"/>
    <s v="SELL"/>
    <n v="3.3973118279569894"/>
    <x v="0"/>
    <x v="0"/>
    <n v="189.57"/>
    <s v="Deal"/>
    <m/>
    <s v="Original Amount [EUR 55.8], Merchant Amount [EUR 55.8], Customer Amount [TRY 189.57], Status [APPROVED], Operation [3DAUTH], UUID [3631021-1458738231-203] [23/03/2016 at 13:03:00]"/>
  </r>
  <r>
    <s v="3631027-1458738237-216"/>
    <s v="Spot"/>
    <s v="3631027-1458738237-216"/>
    <n v="0"/>
    <d v="2016-03-31T00:00:00"/>
    <x v="1245"/>
    <s v="216"/>
    <s v="SELL"/>
    <n v="3.3973701090442594"/>
    <x v="0"/>
    <x v="0"/>
    <n v="105.93"/>
    <s v="Deal"/>
    <m/>
    <s v="Original Amount [EUR 31.18], Merchant Amount [EUR 31.18], Customer Amount [TRY 105.93], Status [APPROVED], Operation [3DAUTH], UUID [3631027-1458738237-216] [23/03/2016 at 13:03:00]"/>
  </r>
  <r>
    <s v="3630997-1458738196-119"/>
    <s v="Spot"/>
    <s v="3630997-1458738196-119"/>
    <n v="0"/>
    <d v="2016-03-31T00:00:00"/>
    <x v="1246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30997-1458738196-119] [23/03/2016 at 13:03:00]"/>
  </r>
  <r>
    <s v="3630991-1458738179-187"/>
    <s v="Spot"/>
    <s v="3630991-1458738179-187"/>
    <n v="0"/>
    <d v="2016-03-31T00:00:00"/>
    <x v="1247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991-1458738179-187] [23/03/2016 at 13:02:00]"/>
  </r>
  <r>
    <s v="3630979-1458738171-199"/>
    <s v="Spot"/>
    <s v="3630979-1458738171-199"/>
    <n v="0"/>
    <d v="2016-03-31T00:00:00"/>
    <x v="1248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79-1458738171-199] [23/03/2016 at 13:02:00]"/>
  </r>
  <r>
    <s v="3631012-1458738215-119"/>
    <s v="Spot"/>
    <s v="3631012-1458738215-119"/>
    <n v="0"/>
    <d v="2016-03-31T00:00:00"/>
    <x v="1249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1012-1458738215-119] [23/03/2016 at 13:03:00]"/>
  </r>
  <r>
    <s v="3630967-1458738162-82"/>
    <s v="Spot"/>
    <s v="3630967-1458738162-82"/>
    <n v="0"/>
    <d v="2016-03-31T00:00:00"/>
    <x v="1250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30967-1458738162-82] [23/03/2016 at 13:02:00]"/>
  </r>
  <r>
    <s v="3630964-1458738159-199"/>
    <s v="Spot"/>
    <s v="3630964-1458738159-199"/>
    <n v="0"/>
    <d v="2016-03-31T00:00:00"/>
    <x v="1251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964-1458738159-199] [23/03/2016 at 13:02:00]"/>
  </r>
  <r>
    <s v="3630955-1458738155-171"/>
    <s v="Spot"/>
    <s v="3630955-1458738155-171"/>
    <n v="0"/>
    <d v="2016-03-31T00:00:00"/>
    <x v="125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30955-1458738155-171] [23/03/2016 at 13:02:00]"/>
  </r>
  <r>
    <s v="3630952-1458738153-119"/>
    <s v="Spot"/>
    <s v="3630952-1458738153-119"/>
    <n v="0"/>
    <d v="2016-03-31T00:00:00"/>
    <x v="1253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952-1458738153-119] [23/03/2016 at 13:02:00]"/>
  </r>
  <r>
    <s v="3630976-1458738167-203"/>
    <s v="Spot"/>
    <s v="3630976-1458738167-203"/>
    <n v="0"/>
    <d v="2016-03-31T00:00:00"/>
    <x v="1254"/>
    <s v="203"/>
    <s v="SELL"/>
    <n v="3.3972580645161288"/>
    <x v="0"/>
    <x v="0"/>
    <n v="210.63"/>
    <s v="Deal"/>
    <m/>
    <s v="Original Amount [EUR 62], Merchant Amount [EUR 62], Customer Amount [TRY 210.63], Status [APPROVED], Operation [3DAUTH], UUID [3630976-1458738167-203] [23/03/2016 at 13:02:00]"/>
  </r>
  <r>
    <s v="3630934-1458738143-224"/>
    <s v="Spot"/>
    <s v="3630934-1458738143-224"/>
    <n v="0"/>
    <d v="2016-03-31T00:00:00"/>
    <x v="125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934-1458738143-224] [23/03/2016 at 13:02:00]"/>
  </r>
  <r>
    <s v="3630925-1458738126-224"/>
    <s v="Spot"/>
    <s v="3630925-1458738126-224"/>
    <n v="0"/>
    <d v="2016-03-31T00:00:00"/>
    <x v="1256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925-1458738126-224] [23/03/2016 at 13:02:00]"/>
  </r>
  <r>
    <s v="3630982-1458738174-216"/>
    <s v="Spot"/>
    <s v="3630982-1458738174-216"/>
    <n v="0"/>
    <d v="2016-03-31T00:00:00"/>
    <x v="1257"/>
    <s v="216"/>
    <s v="SELL"/>
    <n v="3.3972097498396407"/>
    <x v="0"/>
    <x v="0"/>
    <n v="211.85"/>
    <s v="Deal"/>
    <m/>
    <s v="Original Amount [EUR 62.36], Merchant Amount [EUR 62.36], Customer Amount [TRY 211.85], Status [APPROVED], Operation [3DAUTH], UUID [3630982-1458738174-216] [23/03/2016 at 13:02:00]"/>
  </r>
  <r>
    <s v="3630907-1458738098-261"/>
    <s v="Spot"/>
    <s v="3630907-1458738098-261"/>
    <n v="0"/>
    <d v="2016-03-31T00:00:00"/>
    <x v="1258"/>
    <s v="261"/>
    <s v="SELL"/>
    <n v="9.9663551401869164"/>
    <x v="0"/>
    <x v="1"/>
    <n v="159.96"/>
    <s v="Deal"/>
    <m/>
    <s v="Original Amount [EUR 16.05], Merchant Amount [EUR 16.05], Customer Amount [NOK 159.96], Status [APPROVED], Operation [DIRECT], UUID [3630907-1458738098-261] [23/03/2016 at 13:01:00]"/>
  </r>
  <r>
    <s v="3630904-1458738095-224"/>
    <s v="Spot"/>
    <s v="3630904-1458738095-224"/>
    <n v="0"/>
    <d v="2016-03-31T00:00:00"/>
    <x v="1259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904-1458738095-224] [23/03/2016 at 13:01:00]"/>
  </r>
  <r>
    <s v="3630901-1458738094-199"/>
    <s v="Spot"/>
    <s v="3630901-1458738094-199"/>
    <n v="0"/>
    <d v="2016-03-31T00:00:00"/>
    <x v="12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901-1458738094-199] [23/03/2016 at 13:01:00]"/>
  </r>
  <r>
    <s v="3630895-1458738088-199"/>
    <s v="Spot"/>
    <s v="3630895-1458738088-199"/>
    <n v="0"/>
    <d v="2016-03-31T00:00:00"/>
    <x v="1261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895-1458738088-199] [23/03/2016 at 13:01:00]"/>
  </r>
  <r>
    <s v="3630892-1458738084-145"/>
    <s v="Spot"/>
    <s v="3630892-1458738084-145"/>
    <n v="0"/>
    <d v="2016-03-31T00:00:00"/>
    <x v="1262"/>
    <s v="145"/>
    <s v="SELL"/>
    <n v="9.9663960732490082"/>
    <x v="0"/>
    <x v="1"/>
    <n v="527.91999999999996"/>
    <s v="Deal"/>
    <m/>
    <s v="Original Amount [EUR 52.97], Merchant Amount [EUR 52.97], Customer Amount [NOK 527.92], Status [APPROVED], Operation [DIRECT], UUID [3630892-1458738084-145] [23/03/2016 at 13:01:00]"/>
  </r>
  <r>
    <s v="3630889-1458738084-82"/>
    <s v="Spot"/>
    <s v="3630889-1458738084-82"/>
    <n v="0"/>
    <d v="2016-03-31T00:00:00"/>
    <x v="1263"/>
    <s v="82"/>
    <s v="SELL"/>
    <n v="1.1847457627118645"/>
    <x v="0"/>
    <x v="7"/>
    <n v="34.950000000000003"/>
    <s v="Deal"/>
    <m/>
    <s v="Original Amount [USD 34.95], Merchant Amount [EUR 29.5], Customer Amount [USD 34.95], Status [APPROVED], Operation [DIRECT], UUID [3630889-1458738084-82] [23/03/2016 at 13:01:00]"/>
  </r>
  <r>
    <s v="3630886-1458738072-224"/>
    <s v="Spot"/>
    <s v="3630886-1458738072-224"/>
    <n v="0"/>
    <d v="2016-03-31T00:00:00"/>
    <x v="1264"/>
    <s v="224"/>
    <s v="SELL"/>
    <n v="9.966728280961183"/>
    <x v="0"/>
    <x v="1"/>
    <n v="215.68"/>
    <s v="Deal"/>
    <m/>
    <s v="Original Amount [EUR 21.64], Merchant Amount [EUR 21.64], Customer Amount [NOK 215.68], Status [APPROVED], Operation [DIRECT], UUID [3630886-1458738072-224] [23/03/2016 at 13:01:00]"/>
  </r>
  <r>
    <s v="3630883-1458738070-224"/>
    <s v="Spot"/>
    <s v="3630883-1458738070-224"/>
    <n v="0"/>
    <d v="2016-03-31T00:00:00"/>
    <x v="1265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883-1458738070-224] [23/03/2016 at 13:01:00]"/>
  </r>
  <r>
    <s v="3630880-1458738070-261"/>
    <s v="Spot"/>
    <s v="3630880-1458738070-261"/>
    <n v="0"/>
    <d v="2016-03-31T00:00:00"/>
    <x v="1266"/>
    <s v="261"/>
    <s v="SELL"/>
    <n v="9.9663446556559663"/>
    <x v="0"/>
    <x v="1"/>
    <n v="319.82"/>
    <s v="Deal"/>
    <m/>
    <s v="Original Amount [EUR 32.09], Merchant Amount [EUR 32.09], Customer Amount [NOK 319.82], Status [APPROVED], Operation [DIRECT], UUID [3630880-1458738070-261] [23/03/2016 at 13:01:00]"/>
  </r>
  <r>
    <s v="3630871-1458738057-203"/>
    <s v="Spot"/>
    <s v="3630871-1458738057-203"/>
    <n v="0"/>
    <d v="2016-03-31T00:00:00"/>
    <x v="1267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30871-1458738057-203] [23/03/2016 at 13:00:00]"/>
  </r>
  <r>
    <s v="3630847-1458738031-145"/>
    <s v="Spot"/>
    <s v="3630847-1458738031-145"/>
    <n v="0"/>
    <d v="2016-03-31T00:00:00"/>
    <x v="1268"/>
    <s v="145"/>
    <s v="SELL"/>
    <n v="1.5436200694994817"/>
    <x v="0"/>
    <x v="2"/>
    <n v="253.2"/>
    <s v="Deal"/>
    <m/>
    <s v="Original Amount [EUR 164.03], Merchant Amount [EUR 164.03], Customer Amount [CAD 253.2], Status [WAITING], Operation [3D], UUID [3630847-1458738031-145] [23/03/2016 at 13:00:00]"/>
  </r>
  <r>
    <s v="3630841-1458738028-199"/>
    <s v="Spot"/>
    <s v="3630841-1458738028-199"/>
    <n v="0"/>
    <d v="2016-03-31T00:00:00"/>
    <x v="1269"/>
    <s v="199"/>
    <s v="SELL"/>
    <n v="9.9663107511045652"/>
    <x v="0"/>
    <x v="1"/>
    <n v="1624.11"/>
    <s v="Deal"/>
    <m/>
    <s v="Original Amount [EUR 162.96], Merchant Amount [EUR 162.96], Customer Amount [NOK 1624.11], Status [APPROVED], Operation [DIRECT], UUID [3630841-1458738028-199] [23/03/2016 at 13:00:00]"/>
  </r>
  <r>
    <s v="3630838-1458738028-187"/>
    <s v="Spot"/>
    <s v="3630838-1458738028-187"/>
    <n v="0"/>
    <d v="2016-03-31T00:00:00"/>
    <x v="1270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838-1458738028-187] [23/03/2016 at 13:00:00]"/>
  </r>
  <r>
    <s v="3630835-1458738025-200"/>
    <s v="Spot"/>
    <s v="3630835-1458738025-200"/>
    <n v="0"/>
    <d v="2016-03-31T00:00:00"/>
    <x v="1271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30835-1458738025-200] [23/03/2016 at 13:00:00]"/>
  </r>
  <r>
    <s v="3630832-1458738022-145"/>
    <s v="Spot"/>
    <s v="3630832-1458738022-145"/>
    <n v="0"/>
    <d v="2016-03-31T00:00:00"/>
    <x v="1272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30832-1458738022-145] [23/03/2016 at 13:00:00]"/>
  </r>
  <r>
    <s v="3630865-1458738053-119"/>
    <s v="Spot"/>
    <s v="3630865-1458738053-119"/>
    <n v="0"/>
    <d v="2016-03-31T00:00:00"/>
    <x v="1273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30865-1458738053-119] [23/03/2016 at 13:00:00]"/>
  </r>
  <r>
    <s v="3630826-1458738017-200"/>
    <s v="Spot"/>
    <s v="3630826-1458738017-200"/>
    <n v="0"/>
    <d v="2016-03-31T00:00:00"/>
    <x v="1274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30826-1458738017-200] [23/03/2016 at 13:00:00]"/>
  </r>
  <r>
    <s v="3630811-1458738002-199"/>
    <s v="Spot"/>
    <s v="3630811-1458738002-199"/>
    <n v="0"/>
    <d v="2016-03-31T00:00:00"/>
    <x v="1275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811-1458738002-199] [23/03/2016 at 13:00:00]"/>
  </r>
  <r>
    <s v="3630799-1458737982-224"/>
    <s v="Spot"/>
    <s v="3630799-1458737982-224"/>
    <n v="0"/>
    <d v="2016-03-31T00:00:00"/>
    <x v="1276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30799-1458737982-224] [23/03/2016 at 12:59:00]"/>
  </r>
  <r>
    <s v="3630946-1458738150-56"/>
    <s v="Spot"/>
    <s v="3630946-1458738150-56"/>
    <n v="0"/>
    <d v="2016-03-31T00:00:00"/>
    <x v="1277"/>
    <s v="56"/>
    <s v="SELL"/>
    <n v="3.3885429638854299"/>
    <x v="0"/>
    <x v="0"/>
    <n v="27.21"/>
    <s v="Deal"/>
    <m/>
    <s v="Original Amount [EUR 8.03], Merchant Amount [EUR 8.03], Customer Amount [TRY 27.21], Status [APPROVED], Operation [3DAUTH], UUID [3630946-1458738150-56] [23/03/2016 at 13:02:00]"/>
  </r>
  <r>
    <s v="3630790-1458737979-119"/>
    <s v="Spot"/>
    <s v="3630790-1458737979-119"/>
    <n v="0"/>
    <d v="2016-03-31T00:00:00"/>
    <x v="1278"/>
    <s v="119"/>
    <s v="SELL"/>
    <n v="9.9505599999999994"/>
    <x v="0"/>
    <x v="1"/>
    <n v="2487.64"/>
    <s v="Deal"/>
    <m/>
    <s v="Original Amount [EUR 250], Merchant Amount [EUR 250], Customer Amount [NOK 2487.64], Status [APPROVED], Operation [DIRECT], UUID [3630790-1458737979-119] [23/03/2016 at 12:59:00]"/>
  </r>
  <r>
    <s v="3630778-1458737968-187"/>
    <s v="Spot"/>
    <s v="3630778-1458737968-187"/>
    <n v="0"/>
    <d v="2016-03-31T00:00:00"/>
    <x v="1279"/>
    <s v="187"/>
    <s v="SELL"/>
    <n v="9.9506853631637"/>
    <x v="0"/>
    <x v="1"/>
    <n v="631.57000000000005"/>
    <s v="Deal"/>
    <m/>
    <s v="Original Amount [EUR 63.47], Merchant Amount [EUR 63.47], Customer Amount [NOK 631.57], Status [APPROVED], Operation [DIRECT], UUID [3630778-1458737968-187] [23/03/2016 at 12:59:00]"/>
  </r>
  <r>
    <s v="3630772-1458737964-224"/>
    <s v="Spot"/>
    <s v="3630772-1458737964-224"/>
    <n v="0"/>
    <d v="2016-03-31T00:00:00"/>
    <x v="1280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30772-1458737964-224] [23/03/2016 at 12:59:00]"/>
  </r>
  <r>
    <s v="3630787-1458737978-150"/>
    <s v="Spot"/>
    <s v="3630787-1458737978-150"/>
    <n v="0"/>
    <d v="2016-03-31T00:00:00"/>
    <x v="1281"/>
    <s v="150"/>
    <s v="SELL"/>
    <n v="3.3880837359098228"/>
    <x v="0"/>
    <x v="0"/>
    <n v="42.08"/>
    <s v="Deal"/>
    <m/>
    <s v="Original Amount [EUR 12.42], Merchant Amount [EUR 12.42], Customer Amount [TRY 42.08], Status [APPROVED], Operation [3DAUTH], UUID [3630787-1458737978-150] [23/03/2016 at 12:59:00]"/>
  </r>
  <r>
    <s v="3630751-1458737956-224"/>
    <s v="Spot"/>
    <s v="3630751-1458737956-224"/>
    <n v="0"/>
    <d v="2016-03-31T00:00:00"/>
    <x v="1282"/>
    <s v="224"/>
    <s v="SELL"/>
    <n v="132.83260233918131"/>
    <x v="0"/>
    <x v="3"/>
    <n v="1817.15"/>
    <s v="Deal"/>
    <m/>
    <s v="Original Amount [EUR 13.68], Merchant Amount [EUR 13.68], Customer Amount [JPY 1817.15], Status [APPROVED], Operation [DIRECT], UUID [3630751-1458737956-224] [23/03/2016 at 12:59:00]"/>
  </r>
  <r>
    <s v="3630745-1458737953-216"/>
    <s v="Spot"/>
    <s v="3630745-1458737953-216"/>
    <n v="0"/>
    <d v="2016-03-31T00:00:00"/>
    <x v="1283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745-1458737953-216] [23/03/2016 at 12:59:00]"/>
  </r>
  <r>
    <s v="3630766-1458737964-264"/>
    <s v="Spot"/>
    <s v="3630766-1458737964-264"/>
    <n v="0"/>
    <d v="2016-03-31T00:00:00"/>
    <x v="1284"/>
    <s v="264"/>
    <s v="SELL"/>
    <n v="3.3878666666666666"/>
    <x v="0"/>
    <x v="0"/>
    <n v="508.18"/>
    <s v="Deal"/>
    <m/>
    <s v="Original Amount [EUR 150], Merchant Amount [EUR 150], Customer Amount [TRY 508.18], Status [APPROVED], Operation [3DAUTH], UUID [3630766-1458737964-264] [23/03/2016 at 12:59:00]"/>
  </r>
  <r>
    <s v="3630724-1458737938-107"/>
    <s v="Spot"/>
    <s v="3630724-1458737938-107"/>
    <n v="0"/>
    <d v="2016-03-31T00:00:00"/>
    <x v="1285"/>
    <s v="107"/>
    <s v="SELL"/>
    <n v="3.3879922530664941"/>
    <x v="0"/>
    <x v="0"/>
    <n v="52.48"/>
    <s v="Deal"/>
    <m/>
    <s v="Original Amount [EUR 15.49], Merchant Amount [EUR 15.49], Customer Amount [TRY 52.48], Status [WAITING], Operation [3D], UUID [3630724-1458737938-107] [23/03/2016 at 12:58:00]"/>
  </r>
  <r>
    <s v="3630760-1458737962-203"/>
    <s v="Spot"/>
    <s v="3630760-1458737962-203"/>
    <n v="0"/>
    <d v="2016-03-31T00:00:00"/>
    <x v="1286"/>
    <s v="203"/>
    <s v="SELL"/>
    <n v="3.3880645161290324"/>
    <x v="0"/>
    <x v="0"/>
    <n v="105.03"/>
    <s v="Deal"/>
    <m/>
    <s v="Original Amount [EUR 31], Merchant Amount [EUR 31], Customer Amount [TRY 105.03], Status [APPROVED], Operation [3DAUTH], UUID [3630760-1458737962-203] [23/03/2016 at 12:59:00]"/>
  </r>
  <r>
    <s v="3630775-1458737966-101"/>
    <s v="Spot"/>
    <s v="3630775-1458737966-101"/>
    <n v="0"/>
    <d v="2016-03-31T00:00:00"/>
    <x v="1287"/>
    <s v="101"/>
    <s v="SELL"/>
    <n v="3.3879377431906614"/>
    <x v="0"/>
    <x v="0"/>
    <n v="87.07"/>
    <s v="Deal"/>
    <m/>
    <s v="Original Amount [EUR 25.7], Merchant Amount [EUR 25.7], Customer Amount [TRY 87.07], Status [APPROVED], Operation [3DAUTH], UUID [3630775-1458737966-101] [23/03/2016 at 12:59:00]"/>
  </r>
  <r>
    <s v="3630709-1458737923-224"/>
    <s v="Spot"/>
    <s v="3630709-1458737923-224"/>
    <n v="0"/>
    <d v="2016-03-31T00:00:00"/>
    <x v="1288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30709-1458737923-224] [23/03/2016 at 12:58:00]"/>
  </r>
  <r>
    <s v="3630700-1458737909-224"/>
    <s v="Spot"/>
    <s v="3630700-1458737909-224"/>
    <n v="0"/>
    <d v="2016-03-31T00:00:00"/>
    <x v="1289"/>
    <s v="224"/>
    <s v="SELL"/>
    <n v="9.9506560709665486"/>
    <x v="0"/>
    <x v="1"/>
    <n v="538.42999999999995"/>
    <s v="Deal"/>
    <m/>
    <s v="Original Amount [EUR 54.11], Merchant Amount [EUR 54.11], Customer Amount [NOK 538.43], Status [APPROVED], Operation [DIRECT], UUID [3630700-1458737909-224] [23/03/2016 at 12:58:00]"/>
  </r>
  <r>
    <s v="3630697-1458737907-216"/>
    <s v="Spot"/>
    <s v="3630697-1458737907-216"/>
    <n v="0"/>
    <d v="2016-03-31T00:00:00"/>
    <x v="1290"/>
    <s v="216"/>
    <s v="SELL"/>
    <n v="3.3883183568677793"/>
    <x v="0"/>
    <x v="0"/>
    <n v="52.79"/>
    <s v="Deal"/>
    <m/>
    <s v="Original Amount [EUR 15.58], Merchant Amount [EUR 15.58], Customer Amount [TRY 52.79], Status [WAITING], Operation [3D], UUID [3630697-1458737907-216] [23/03/2016 at 12:58:00]"/>
  </r>
  <r>
    <s v="3630703-1458737917-145"/>
    <s v="Spot"/>
    <s v="3630703-1458737917-145"/>
    <n v="0"/>
    <d v="2016-03-31T00:00:00"/>
    <x v="1291"/>
    <s v="145"/>
    <s v="SELL"/>
    <n v="1.5431496830814235"/>
    <x v="0"/>
    <x v="2"/>
    <n v="31.65"/>
    <s v="Deal"/>
    <m/>
    <s v="Original Amount [EUR 20.51], Merchant Amount [EUR 20.51], Customer Amount [CAD 31.65], Status [APPROVED], Operation [3DAUTH], UUID [3630703-1458737917-145] [23/03/2016 at 12:58:00]"/>
  </r>
  <r>
    <s v="3630712-1458737927-216"/>
    <s v="Spot"/>
    <s v="3630712-1458737927-216"/>
    <n v="0"/>
    <d v="2016-03-31T00:00:00"/>
    <x v="1292"/>
    <s v="216"/>
    <s v="SELL"/>
    <n v="3.3883959044368601"/>
    <x v="0"/>
    <x v="0"/>
    <n v="49.64"/>
    <s v="Deal"/>
    <m/>
    <s v="Original Amount [EUR 14.65], Merchant Amount [EUR 14.65], Customer Amount [TRY 49.64], Status [APPROVED], Operation [3DAUTH], UUID [3630712-1458737927-216] [23/03/2016 at 12:58:00]"/>
  </r>
  <r>
    <s v="3630676-1458737892-199"/>
    <s v="Spot"/>
    <s v="3630676-1458737892-199"/>
    <n v="0"/>
    <d v="2016-03-31T00:00:00"/>
    <x v="1293"/>
    <s v="199"/>
    <s v="SELL"/>
    <n v="9.9505524053929104"/>
    <x v="0"/>
    <x v="1"/>
    <n v="10546.69"/>
    <s v="Deal"/>
    <m/>
    <s v="Original Amount [EUR 1059.91], Merchant Amount [EUR 1059.91], Customer Amount [NOK 10546.69], Status [APPROVED], Operation [DIRECT], UUID [3630676-1458737892-199] [23/03/2016 at 12:58:00]"/>
  </r>
  <r>
    <s v="3630673-1458737892-200"/>
    <s v="Spot"/>
    <s v="3630673-1458737892-200"/>
    <n v="0"/>
    <d v="2016-03-31T00:00:00"/>
    <x v="1294"/>
    <s v="200"/>
    <s v="SELL"/>
    <n v="9.9507299270072984"/>
    <x v="0"/>
    <x v="1"/>
    <n v="327.18"/>
    <s v="Deal"/>
    <m/>
    <s v="Original Amount [EUR 32.88], Merchant Amount [EUR 32.88], Customer Amount [NOK 327.18], Status [APPROVED], Operation [STORED], UUID [3630673-1458737892-200] [23/03/2016 at 12:58:00]"/>
  </r>
  <r>
    <s v="3630667-1458737875-199"/>
    <s v="Spot"/>
    <s v="3630667-1458737875-199"/>
    <n v="0"/>
    <d v="2016-03-31T00:00:00"/>
    <x v="1295"/>
    <s v="199"/>
    <s v="SELL"/>
    <n v="9.9505706921944039"/>
    <x v="0"/>
    <x v="1"/>
    <n v="1081.03"/>
    <s v="Deal"/>
    <m/>
    <s v="Original Amount [EUR 108.64], Merchant Amount [EUR 108.64], Customer Amount [NOK 1081.03], Status [APPROVED], Operation [DIRECT], UUID [3630667-1458737875-199] [23/03/2016 at 12:57:00]"/>
  </r>
  <r>
    <s v="3630658-1458737867-199"/>
    <s v="Spot"/>
    <s v="3630658-1458737867-199"/>
    <n v="0"/>
    <d v="2016-03-31T00:00:00"/>
    <x v="1296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30658-1458737867-199] [23/03/2016 at 12:57:00]"/>
  </r>
  <r>
    <s v="3630652-1458737864-119"/>
    <s v="Spot"/>
    <s v="3630652-1458737864-119"/>
    <n v="0"/>
    <d v="2016-03-31T00:00:00"/>
    <x v="1297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52-1458737864-119] [23/03/2016 at 12:57:00]"/>
  </r>
  <r>
    <s v="3630646-1458737857-119"/>
    <s v="Spot"/>
    <s v="3630646-1458737857-119"/>
    <n v="0"/>
    <d v="2016-03-31T00:00:00"/>
    <x v="1298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30646-1458737857-119] [23/03/2016 at 12:57:00]"/>
  </r>
  <r>
    <s v="3630670-1458737878-216"/>
    <s v="Spot"/>
    <s v="3630670-1458737878-216"/>
    <n v="0"/>
    <d v="2016-03-31T00:00:00"/>
    <x v="1299"/>
    <s v="216"/>
    <s v="SELL"/>
    <n v="3.3878787878787877"/>
    <x v="0"/>
    <x v="0"/>
    <n v="190.06"/>
    <s v="Deal"/>
    <m/>
    <s v="Original Amount [EUR 56.1], Merchant Amount [EUR 56.1], Customer Amount [TRY 190.06], Status [APPROVED], Operation [3DAUTH], UUID [3630670-1458737878-216] [23/03/2016 at 12:57:00]"/>
  </r>
  <r>
    <s v="3630688-1458737902-119"/>
    <s v="Spot"/>
    <s v="3630688-1458737902-119"/>
    <n v="0"/>
    <d v="2016-03-31T00:00:00"/>
    <x v="1300"/>
    <s v="119"/>
    <s v="SELL"/>
    <n v="9.9510000000000005"/>
    <x v="0"/>
    <x v="1"/>
    <n v="99.51"/>
    <s v="Deal"/>
    <m/>
    <s v="Original Amount [EUR 10], Merchant Amount [EUR 10], Customer Amount [NOK 99.51], Status [APPROVED], Operation [3DAUTH], UUID [3630688-1458737902-119] [23/03/2016 at 12:58:00]"/>
  </r>
  <r>
    <s v="3630631-1458737840-119"/>
    <s v="Spot"/>
    <s v="3630631-1458737840-119"/>
    <n v="0"/>
    <d v="2016-03-31T00:00:00"/>
    <x v="1301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30631-1458737840-119] [23/03/2016 at 12:57:00]"/>
  </r>
  <r>
    <s v="3630619-1458737813-126"/>
    <s v="Spot"/>
    <s v="3630619-1458737813-126"/>
    <n v="0"/>
    <d v="2016-03-31T00:00:00"/>
    <x v="1302"/>
    <s v="126"/>
    <s v="SELL"/>
    <n v="9.9668292682926829"/>
    <x v="0"/>
    <x v="1"/>
    <n v="102.16"/>
    <s v="Deal"/>
    <m/>
    <s v="Original Amount [EUR 10.25], Merchant Amount [EUR 10.25], Customer Amount [NOK 102.16], Status [APPROVED], Operation [DIRECT], UUID [3630619-1458737813-126] [23/03/2016 at 12:56:00]"/>
  </r>
  <r>
    <s v="3630616-1458737809-187"/>
    <s v="Spot"/>
    <s v="3630616-1458737809-187"/>
    <n v="0"/>
    <d v="2016-03-31T00:00:00"/>
    <x v="1303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30616-1458737809-187] [23/03/2016 at 12:56:00]"/>
  </r>
  <r>
    <s v="3630604-1458737801-187"/>
    <s v="Spot"/>
    <s v="3630604-1458737801-187"/>
    <n v="0"/>
    <d v="2016-03-31T00:00:00"/>
    <x v="1304"/>
    <s v="187"/>
    <s v="SELL"/>
    <n v="9.9664444444444449"/>
    <x v="0"/>
    <x v="1"/>
    <n v="448.49"/>
    <s v="Deal"/>
    <m/>
    <s v="Original Amount [EUR 45], Merchant Amount [EUR 45], Customer Amount [NOK 448.49], Status [APPROVED], Operation [DIRECT], UUID [3630604-1458737801-187] [23/03/2016 at 12:56:00]"/>
  </r>
  <r>
    <s v="3630601-1458737801-126"/>
    <s v="Spot"/>
    <s v="3630601-1458737801-126"/>
    <n v="0"/>
    <d v="2016-03-31T00:00:00"/>
    <x v="1305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601-1458737801-126] [23/03/2016 at 12:56:00]"/>
  </r>
  <r>
    <s v="3630598-1458737799-216"/>
    <s v="Spot"/>
    <s v="3630598-1458737799-216"/>
    <n v="0"/>
    <d v="2016-03-31T00:00:00"/>
    <x v="1306"/>
    <s v="216"/>
    <s v="SELL"/>
    <n v="3.3966623876765083"/>
    <x v="0"/>
    <x v="0"/>
    <n v="52.92"/>
    <s v="Deal"/>
    <m/>
    <s v="Original Amount [EUR 15.58], Merchant Amount [EUR 15.58], Customer Amount [TRY 52.92], Status [WAITING], Operation [3D], UUID [3630598-1458737799-216] [23/03/2016 at 12:56:00]"/>
  </r>
  <r>
    <s v="3630595-1458737795-224"/>
    <s v="Spot"/>
    <s v="3630595-1458737795-224"/>
    <n v="0"/>
    <d v="2016-03-31T00:00:00"/>
    <x v="1307"/>
    <s v="224"/>
    <s v="SELL"/>
    <n v="133.03764963903865"/>
    <x v="0"/>
    <x v="3"/>
    <n v="14558.31"/>
    <s v="Deal"/>
    <m/>
    <s v="Original Amount [EUR 109.43], Merchant Amount [EUR 109.43], Customer Amount [JPY 14558.31], Status [APPROVED], Operation [DIRECT], UUID [3630595-1458737795-224] [23/03/2016 at 12:56:00]"/>
  </r>
  <r>
    <s v="3630592-1458737795-187"/>
    <s v="Spot"/>
    <s v="3630592-1458737795-187"/>
    <n v="0"/>
    <d v="2016-03-31T00:00:00"/>
    <x v="1308"/>
    <s v="187"/>
    <s v="SELL"/>
    <n v="9.9669187145557654"/>
    <x v="0"/>
    <x v="1"/>
    <n v="105.45"/>
    <s v="Deal"/>
    <m/>
    <s v="Original Amount [EUR 10.58], Merchant Amount [EUR 10.58], Customer Amount [NOK 105.45], Status [APPROVED], Operation [DIRECT], UUID [3630592-1458737795-187] [23/03/2016 at 12:56:00]"/>
  </r>
  <r>
    <s v="3630625-1458737822-216"/>
    <s v="Spot"/>
    <s v="3630625-1458737822-216"/>
    <n v="0"/>
    <d v="2016-03-31T00:00:00"/>
    <x v="1309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25-1458737822-216] [23/03/2016 at 12:57:00]"/>
  </r>
  <r>
    <s v="3630583-1458737789-199"/>
    <s v="Spot"/>
    <s v="3630583-1458737789-199"/>
    <n v="0"/>
    <d v="2016-03-31T00:00:00"/>
    <x v="1310"/>
    <s v="199"/>
    <s v="SELL"/>
    <n v="9.9668508287292816"/>
    <x v="0"/>
    <x v="1"/>
    <n v="108.24"/>
    <s v="Deal"/>
    <m/>
    <s v="Original Amount [EUR 10.86], Merchant Amount [EUR 10.86], Customer Amount [NOK 108.24], Status [APPROVED], Operation [DIRECT], UUID [3630583-1458737789-199] [23/03/2016 at 12:56:00]"/>
  </r>
  <r>
    <s v="3630610-1458737804-216"/>
    <s v="Spot"/>
    <s v="3630610-1458737804-216"/>
    <n v="0"/>
    <d v="2016-03-31T00:00:00"/>
    <x v="1311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610-1458737804-216] [23/03/2016 at 12:56:00]"/>
  </r>
  <r>
    <s v="3630568-1458737768-224"/>
    <s v="Spot"/>
    <s v="3630568-1458737768-224"/>
    <n v="0"/>
    <d v="2016-03-31T00:00:00"/>
    <x v="1312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30568-1458737768-224] [23/03/2016 at 12:56:00]"/>
  </r>
  <r>
    <s v="3630553-1458737743-199"/>
    <s v="Spot"/>
    <s v="3630553-1458737743-199"/>
    <n v="0"/>
    <d v="2016-03-31T00:00:00"/>
    <x v="1313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553-1458737743-199] [23/03/2016 at 12:55:00]"/>
  </r>
  <r>
    <s v="3630562-1458737764-107"/>
    <s v="Spot"/>
    <s v="3630562-1458737764-107"/>
    <n v="0"/>
    <d v="2016-03-31T00:00:00"/>
    <x v="1314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562-1458737764-107] [23/03/2016 at 12:56:00]"/>
  </r>
  <r>
    <s v="3630574-1458737779-203"/>
    <s v="Spot"/>
    <s v="3630574-1458737779-203"/>
    <n v="0"/>
    <d v="2016-03-31T00:00:00"/>
    <x v="1315"/>
    <s v="203"/>
    <s v="SELL"/>
    <n v="3.3967741935483868"/>
    <x v="0"/>
    <x v="0"/>
    <n v="73.709999999999994"/>
    <s v="Deal"/>
    <m/>
    <s v="Original Amount [EUR 21.7], Merchant Amount [EUR 21.7], Customer Amount [TRY 73.71], Status [APPROVED], Operation [3DAUTH], UUID [3630574-1458737779-203] [23/03/2016 at 12:56:00]"/>
  </r>
  <r>
    <s v="3630529-1458737709-216"/>
    <s v="Spot"/>
    <s v="3630529-1458737709-216"/>
    <n v="0"/>
    <d v="2016-03-31T00:00:00"/>
    <x v="1316"/>
    <s v="216"/>
    <s v="SELL"/>
    <n v="3.3965775401069518"/>
    <x v="0"/>
    <x v="0"/>
    <n v="158.79"/>
    <s v="Deal"/>
    <m/>
    <s v="Original Amount [EUR 46.75], Merchant Amount [EUR 46.75], Customer Amount [TRY 158.79], Status [WAITING], Operation [3D], UUID [3630529-1458737709-216] [23/03/2016 at 12:55:00]"/>
  </r>
  <r>
    <s v="3630523-1458737683-172"/>
    <s v="Spot"/>
    <s v="3630523-1458737683-172"/>
    <n v="0"/>
    <d v="2016-03-31T00:00:00"/>
    <x v="1317"/>
    <s v="172"/>
    <s v="SELL"/>
    <n v="9.9664577957980089"/>
    <x v="0"/>
    <x v="1"/>
    <n v="270.39"/>
    <s v="Deal"/>
    <m/>
    <s v="Original Amount [EUR 27.13], Merchant Amount [EUR 27.13], Customer Amount [NOK 270.39], Status [APPROVED], Operation [3DAUTH], UUID [3630523-1458737683-172] [23/03/2016 at 12:54:00]"/>
  </r>
  <r>
    <s v="3630520-1458737675-145"/>
    <s v="Spot"/>
    <s v="3630520-1458737675-145"/>
    <n v="0"/>
    <d v="2016-03-31T00:00:00"/>
    <x v="1318"/>
    <s v="145"/>
    <s v="SELL"/>
    <n v="1.5441248171623598"/>
    <x v="0"/>
    <x v="2"/>
    <n v="31.67"/>
    <s v="Deal"/>
    <m/>
    <s v="Original Amount [EUR 20.51], Merchant Amount [EUR 20.51], Customer Amount [CAD 31.67], Status [APPROVED], Operation [3DAUTH], UUID [3630520-1458737675-145] [23/03/2016 at 12:54:00]"/>
  </r>
  <r>
    <s v="3630496-1458737653-224"/>
    <s v="Spot"/>
    <s v="3630496-1458737653-224"/>
    <n v="0"/>
    <d v="2016-03-31T00:00:00"/>
    <x v="1319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496-1458737653-224] [23/03/2016 at 12:54:00]"/>
  </r>
  <r>
    <s v="3630493-1458737645-224"/>
    <s v="Spot"/>
    <s v="3630493-1458737645-224"/>
    <n v="0"/>
    <d v="2016-03-31T00:00:00"/>
    <x v="1320"/>
    <s v="224"/>
    <s v="SELL"/>
    <n v="133.03771929824563"/>
    <x v="0"/>
    <x v="3"/>
    <n v="6066.52"/>
    <s v="Deal"/>
    <m/>
    <s v="Original Amount [EUR 45.6], Merchant Amount [EUR 45.6], Customer Amount [JPY 6066.52], Status [APPROVED], Operation [DIRECT], UUID [3630493-1458737645-224] [23/03/2016 at 12:54:00]"/>
  </r>
  <r>
    <s v="3630541-1458737730-200"/>
    <s v="Spot"/>
    <s v="3630541-1458737730-200"/>
    <n v="0"/>
    <d v="2016-03-31T00:00:00"/>
    <x v="1321"/>
    <s v="200"/>
    <s v="SELL"/>
    <n v="9.9548151528982203"/>
    <x v="0"/>
    <x v="1"/>
    <n v="218.11"/>
    <s v="Deal"/>
    <m/>
    <s v="Original Amount [EUR 21.91], Merchant Amount [EUR 21.91], Customer Amount [NOK 218.11], Status [APPROVED], Operation [3DAUTH], UUID [3630541-1458737730-200] [23/03/2016 at 12:55:00]"/>
  </r>
  <r>
    <s v="3630484-1458737640-199"/>
    <s v="Spot"/>
    <s v="3630484-1458737640-199"/>
    <n v="0"/>
    <d v="2016-03-31T00:00:00"/>
    <x v="1322"/>
    <s v="199"/>
    <s v="SELL"/>
    <n v="9.9546709618039575"/>
    <x v="0"/>
    <x v="1"/>
    <n v="432.63"/>
    <s v="Deal"/>
    <m/>
    <s v="Original Amount [EUR 43.46], Merchant Amount [EUR 43.46], Customer Amount [NOK 432.63], Status [APPROVED], Operation [DIRECT], UUID [3630484-1458737640-199] [23/03/2016 at 12:54:00]"/>
  </r>
  <r>
    <s v="3630502-1458737657-101"/>
    <s v="Spot"/>
    <s v="3630502-1458737657-101"/>
    <n v="0"/>
    <d v="2016-03-31T00:00:00"/>
    <x v="1323"/>
    <s v="101"/>
    <s v="SELL"/>
    <n v="3.3966038406827881"/>
    <x v="0"/>
    <x v="0"/>
    <n v="382.05"/>
    <s v="Deal"/>
    <m/>
    <s v="Original Amount [EUR 112.48], Merchant Amount [EUR 112.48], Customer Amount [TRY 382.05], Status [APPROVED], Operation [3DAUTH], UUID [3630502-1458737657-101] [23/03/2016 at 12:54:00]"/>
  </r>
  <r>
    <s v="3630514-1458737663-101"/>
    <s v="Spot"/>
    <s v="3630514-1458737663-101"/>
    <n v="0"/>
    <d v="2016-03-31T00:00:00"/>
    <x v="1324"/>
    <s v="101"/>
    <s v="SELL"/>
    <n v="3.396613967384539"/>
    <x v="0"/>
    <x v="0"/>
    <n v="272.85000000000002"/>
    <s v="Deal"/>
    <m/>
    <s v="Original Amount [EUR 80.33], Merchant Amount [EUR 80.33], Customer Amount [TRY 272.85], Status [APPROVED], Operation [3DAUTH], UUID [3630514-1458737663-101] [23/03/2016 at 12:54:00]"/>
  </r>
  <r>
    <s v="3630490-1458737642-216"/>
    <s v="Spot"/>
    <s v="3630490-1458737642-216"/>
    <n v="0"/>
    <d v="2016-03-31T00:00:00"/>
    <x v="1325"/>
    <s v="216"/>
    <s v="SELL"/>
    <n v="3.3966623876765083"/>
    <x v="0"/>
    <x v="0"/>
    <n v="52.92"/>
    <s v="Deal"/>
    <m/>
    <s v="Original Amount [EUR 15.58], Merchant Amount [EUR 15.58], Customer Amount [TRY 52.92], Status [APPROVED], Operation [3DAUTH], UUID [3630490-1458737642-216] [23/03/2016 at 12:54:00]"/>
  </r>
  <r>
    <s v="3630463-1458737607-126"/>
    <s v="Spot"/>
    <s v="3630463-1458737607-126"/>
    <n v="0"/>
    <d v="2016-03-31T00:00:00"/>
    <x v="13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30463-1458737607-126] [23/03/2016 at 12:53:00]"/>
  </r>
  <r>
    <s v="3630454-1458737597-264"/>
    <s v="Spot"/>
    <s v="3630454-1458737597-264"/>
    <n v="0"/>
    <d v="2016-03-31T00:00:00"/>
    <x v="1327"/>
    <s v="264"/>
    <s v="SELL"/>
    <n v="3.403225806451613"/>
    <x v="0"/>
    <x v="0"/>
    <n v="21.1"/>
    <s v="Deal"/>
    <m/>
    <s v="Original Amount [TRY 20], Merchant Amount [EUR 6.2], Customer Amount [TRY 21.1], Status [WAITING], Operation [3D], UUID [3630454-1458737597-264] [23/03/2016 at 12:53:00]"/>
  </r>
  <r>
    <s v="3630442-1458737588-56"/>
    <s v="Spot"/>
    <s v="3630442-1458737588-56"/>
    <n v="0"/>
    <d v="2016-03-31T00:00:00"/>
    <x v="1328"/>
    <s v="56"/>
    <s v="SELL"/>
    <n v="3.3967485299204427"/>
    <x v="0"/>
    <x v="0"/>
    <n v="98.2"/>
    <s v="Deal"/>
    <m/>
    <s v="Original Amount [EUR 28.91], Merchant Amount [EUR 28.91], Customer Amount [TRY 98.2], Status [WAITING], Operation [3D], UUID [3630442-1458737588-56] [23/03/2016 at 12:53:00]"/>
  </r>
  <r>
    <s v="3630472-1458737614-216"/>
    <s v="Spot"/>
    <s v="3630472-1458737614-216"/>
    <n v="0"/>
    <d v="2016-03-31T00:00:00"/>
    <x v="132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472-1458737614-216] [23/03/2016 at 12:53:00]"/>
  </r>
  <r>
    <s v="3630436-1458737579-224"/>
    <s v="Spot"/>
    <s v="3630436-1458737579-224"/>
    <n v="0"/>
    <d v="2016-03-31T00:00:00"/>
    <x v="1330"/>
    <s v="224"/>
    <s v="SELL"/>
    <n v="9.9547239547239545"/>
    <x v="0"/>
    <x v="1"/>
    <n v="430.94"/>
    <s v="Deal"/>
    <m/>
    <s v="Original Amount [EUR 43.29], Merchant Amount [EUR 43.29], Customer Amount [NOK 430.94], Status [APPROVED], Operation [DIRECT], UUID [3630436-1458737579-224] [23/03/2016 at 12:52:00]"/>
  </r>
  <r>
    <s v="3630427-1458737575-199"/>
    <s v="Spot"/>
    <s v="3630427-1458737575-199"/>
    <n v="0"/>
    <d v="2016-03-31T00:00:00"/>
    <x v="133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30427-1458737575-199] [23/03/2016 at 12:52:00]"/>
  </r>
  <r>
    <s v="3630460-1458737601-56"/>
    <s v="Spot"/>
    <s v="3630460-1458737601-56"/>
    <n v="0"/>
    <d v="2016-03-31T00:00:00"/>
    <x v="1332"/>
    <s v="56"/>
    <s v="SELL"/>
    <n v="3.3968253968253967"/>
    <x v="0"/>
    <x v="0"/>
    <n v="109.14"/>
    <s v="Deal"/>
    <m/>
    <s v="Original Amount [EUR 32.13], Merchant Amount [EUR 32.13], Customer Amount [TRY 109.14], Status [APPROVED], Operation [3DAUTH], UUID [3630460-1458737601-56] [23/03/2016 at 12:53:00]"/>
  </r>
  <r>
    <s v="3630415-1458737563-241"/>
    <s v="Spot"/>
    <s v="3630415-1458737563-241"/>
    <n v="0"/>
    <d v="2016-03-31T00:00:00"/>
    <x v="1333"/>
    <s v="241"/>
    <s v="SELL"/>
    <n v="9.9545714285714286"/>
    <x v="0"/>
    <x v="1"/>
    <n v="348.41"/>
    <s v="Deal"/>
    <m/>
    <s v="Original Amount [EUR 35], Merchant Amount [EUR 35], Customer Amount [NOK 348.41], Status [APPROVED], Operation [DIRECT], UUID [3630415-1458737563-241] [23/03/2016 at 12:52:00]"/>
  </r>
  <r>
    <s v="3630409-1458737558-187"/>
    <s v="Spot"/>
    <s v="3630409-1458737558-187"/>
    <n v="0"/>
    <d v="2016-03-31T00:00:00"/>
    <x v="1334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30409-1458737558-187] [23/03/2016 at 12:52:00]"/>
  </r>
  <r>
    <s v="3630394-1458737549-261"/>
    <s v="Spot"/>
    <s v="3630394-1458737549-261"/>
    <n v="0"/>
    <d v="2016-03-31T00:00:00"/>
    <x v="1335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30394-1458737549-261] [23/03/2016 at 12:52:00]"/>
  </r>
  <r>
    <s v="3630421-1458737574-107"/>
    <s v="Spot"/>
    <s v="3630421-1458737574-107"/>
    <n v="0"/>
    <d v="2016-03-31T00:00:00"/>
    <x v="1336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30421-1458737574-107] [23/03/2016 at 12:52:00]"/>
  </r>
  <r>
    <s v="3630376-1458737526-119"/>
    <s v="Spot"/>
    <s v="3630376-1458737526-119"/>
    <n v="0"/>
    <d v="2016-03-31T00:00:00"/>
    <x v="1337"/>
    <s v="119"/>
    <s v="SELL"/>
    <n v="9.954600000000001"/>
    <x v="0"/>
    <x v="1"/>
    <n v="1493.19"/>
    <s v="Deal"/>
    <m/>
    <s v="Original Amount [EUR 150], Merchant Amount [EUR 150], Customer Amount [NOK 1493.19], Status [APPROVED], Operation [DIRECT], UUID [3630376-1458737526-119] [23/03/2016 at 12:52:00]"/>
  </r>
  <r>
    <s v="3630400-1458737552-119"/>
    <s v="Spot"/>
    <s v="3630400-1458737552-119"/>
    <n v="0"/>
    <d v="2016-03-31T00:00:00"/>
    <x v="1338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30400-1458737552-119] [23/03/2016 at 12:52:00]"/>
  </r>
  <r>
    <s v="3630397-1458737549-216"/>
    <s v="Spot"/>
    <s v="3630397-1458737549-216"/>
    <n v="0"/>
    <d v="2016-03-31T00:00:00"/>
    <x v="1339"/>
    <s v="216"/>
    <s v="SELL"/>
    <n v="3.3968835930339139"/>
    <x v="0"/>
    <x v="0"/>
    <n v="37.06"/>
    <s v="Deal"/>
    <m/>
    <s v="Original Amount [EUR 10.91], Merchant Amount [EUR 10.91], Customer Amount [TRY 37.06], Status [APPROVED], Operation [3DAUTH], UUID [3630397-1458737549-216] [23/03/2016 at 12:52:00]"/>
  </r>
  <r>
    <s v="3630343-1458737464-125"/>
    <s v="Spot"/>
    <s v="3630343-1458737464-125"/>
    <n v="0"/>
    <d v="2016-03-31T00:00:00"/>
    <x v="1340"/>
    <s v="125"/>
    <s v="SELL"/>
    <n v="1.5558666666666667"/>
    <x v="0"/>
    <x v="5"/>
    <n v="233.38"/>
    <s v="Deal"/>
    <m/>
    <s v="Original Amount [EUR 150], Merchant Amount [EUR 150], Customer Amount [AUD 233.38], Status [APPROVED], Operation [DIRECT], UUID [3630343-1458737464-125] [23/03/2016 at 12:51:00]"/>
  </r>
  <r>
    <s v="3630349-1458737485-107"/>
    <s v="Spot"/>
    <s v="3630349-1458737485-107"/>
    <n v="0"/>
    <d v="2016-03-31T00:00:00"/>
    <x v="1341"/>
    <s v="107"/>
    <s v="SELL"/>
    <n v="3.3919909265398709"/>
    <x v="0"/>
    <x v="0"/>
    <n v="388.79"/>
    <s v="Deal"/>
    <m/>
    <s v="Original Amount [EUR 114.62], Merchant Amount [EUR 114.62], Customer Amount [TRY 388.79], Status [APPROVED], Operation [3DAUTH], UUID [3630349-1458737485-107] [23/03/2016 at 12:51:00]"/>
  </r>
  <r>
    <s v="3630337-1458737455-56"/>
    <s v="Spot"/>
    <s v="3630337-1458737455-56"/>
    <n v="0"/>
    <d v="2016-03-31T00:00:00"/>
    <x v="1342"/>
    <s v="56"/>
    <s v="SELL"/>
    <n v="3.3922018348623855"/>
    <x v="0"/>
    <x v="0"/>
    <n v="103.53"/>
    <s v="Deal"/>
    <m/>
    <s v="Original Amount [EUR 30.52], Merchant Amount [EUR 30.52], Customer Amount [TRY 103.53], Status [WAITING], Operation [3D], UUID [3630337-1458737455-56] [23/03/2016 at 12:50:00]"/>
  </r>
  <r>
    <s v="3630364-1458737515-56"/>
    <s v="Spot"/>
    <s v="3630364-1458737515-56"/>
    <n v="0"/>
    <d v="2016-03-31T00:00:00"/>
    <x v="1343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30364-1458737515-56] [23/03/2016 at 12:51:00]"/>
  </r>
  <r>
    <s v="3630325-1458737431-199"/>
    <s v="Spot"/>
    <s v="3630325-1458737431-199"/>
    <n v="0"/>
    <d v="2016-03-31T00:00:00"/>
    <x v="1344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325-1458737431-199] [23/03/2016 at 12:50:00]"/>
  </r>
  <r>
    <s v="3630355-1458737509-216"/>
    <s v="Spot"/>
    <s v="3630355-1458737509-216"/>
    <n v="0"/>
    <d v="2016-03-31T00:00:00"/>
    <x v="134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30355-1458737509-216] [23/03/2016 at 12:51:00]"/>
  </r>
  <r>
    <s v="3630319-1458737428-216"/>
    <s v="Spot"/>
    <s v="3630319-1458737428-216"/>
    <n v="0"/>
    <d v="2016-03-31T00:00:00"/>
    <x v="1346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19-1458737428-216] [23/03/2016 at 12:50:00]"/>
  </r>
  <r>
    <s v="3630301-1458737404-216"/>
    <s v="Spot"/>
    <s v="3630301-1458737404-216"/>
    <n v="0"/>
    <d v="2016-03-31T00:00:00"/>
    <x v="1347"/>
    <s v="216"/>
    <s v="SELL"/>
    <n v="3.3923006416131987"/>
    <x v="0"/>
    <x v="0"/>
    <n v="37.01"/>
    <s v="Deal"/>
    <m/>
    <s v="Original Amount [EUR 10.91], Merchant Amount [EUR 10.91], Customer Amount [TRY 37.01], Status [WAITING], Operation [3D], UUID [3630301-1458737404-216] [23/03/2016 at 12:50:00]"/>
  </r>
  <r>
    <s v="3630313-1458737420-101"/>
    <s v="Spot"/>
    <s v="3630313-1458737420-101"/>
    <n v="0"/>
    <d v="2016-03-31T00:00:00"/>
    <x v="1348"/>
    <s v="101"/>
    <s v="SELL"/>
    <n v="3.3919564306661081"/>
    <x v="0"/>
    <x v="0"/>
    <n v="809.66"/>
    <s v="Deal"/>
    <m/>
    <s v="Original Amount [EUR 238.7], Merchant Amount [EUR 238.7], Customer Amount [TRY 809.66], Status [APPROVED], Operation [3DAUTH], UUID [3630313-1458737420-101] [23/03/2016 at 12:50:00]"/>
  </r>
  <r>
    <s v="3630289-1458737390-187"/>
    <s v="Spot"/>
    <s v="3630289-1458737390-187"/>
    <n v="0"/>
    <d v="2016-03-31T00:00:00"/>
    <x v="1349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30289-1458737390-187] [23/03/2016 at 12:49:00]"/>
  </r>
  <r>
    <s v="3630286-1458737389-126"/>
    <s v="Spot"/>
    <s v="3630286-1458737389-126"/>
    <n v="0"/>
    <d v="2016-03-31T00:00:00"/>
    <x v="1350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30286-1458737389-126] [23/03/2016 at 12:49:00]"/>
  </r>
  <r>
    <s v="3630283-1458737388-224"/>
    <s v="Spot"/>
    <s v="3630283-1458737388-224"/>
    <n v="0"/>
    <d v="2016-03-31T00:00:00"/>
    <x v="1351"/>
    <s v="224"/>
    <s v="SELL"/>
    <n v="133.03777723616867"/>
    <x v="0"/>
    <x v="3"/>
    <n v="5458.54"/>
    <s v="Deal"/>
    <m/>
    <s v="Original Amount [EUR 41.03], Merchant Amount [EUR 41.03], Customer Amount [JPY 5458.54], Status [APPROVED], Operation [DIRECT], UUID [3630283-1458737388-224] [23/03/2016 at 12:49:00]"/>
  </r>
  <r>
    <s v="3630280-1458737382-187"/>
    <s v="Spot"/>
    <s v="3630280-1458737382-187"/>
    <n v="0"/>
    <d v="2016-03-31T00:00:00"/>
    <x v="1352"/>
    <s v="187"/>
    <s v="SELL"/>
    <n v="9.966284345853289"/>
    <x v="0"/>
    <x v="1"/>
    <n v="3162.9"/>
    <s v="Deal"/>
    <m/>
    <s v="Original Amount [EUR 317.36], Merchant Amount [EUR 317.36], Customer Amount [NOK 3162.9], Status [APPROVED], Operation [DIRECT], UUID [3630280-1458737382-187] [23/03/2016 at 12:49:00]"/>
  </r>
  <r>
    <s v="3630310-1458737420-203"/>
    <s v="Spot"/>
    <s v="3630310-1458737420-203"/>
    <n v="0"/>
    <d v="2016-03-31T00:00:00"/>
    <x v="1353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30310-1458737420-203] [23/03/2016 at 12:50:00]"/>
  </r>
  <r>
    <s v="3630268-1458737372-199"/>
    <s v="Spot"/>
    <s v="3630268-1458737372-199"/>
    <n v="0"/>
    <d v="2016-03-31T00:00:00"/>
    <x v="1354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30268-1458737372-199] [23/03/2016 at 12:49:00]"/>
  </r>
  <r>
    <s v="3630298-1458737401-216"/>
    <s v="Spot"/>
    <s v="3630298-1458737401-216"/>
    <n v="0"/>
    <d v="2016-03-31T00:00:00"/>
    <x v="1355"/>
    <s v="216"/>
    <s v="SELL"/>
    <n v="3.3920436316971445"/>
    <x v="0"/>
    <x v="0"/>
    <n v="105.73"/>
    <s v="Deal"/>
    <m/>
    <s v="Original Amount [EUR 31.17], Merchant Amount [EUR 31.17], Customer Amount [TRY 105.73], Status [APPROVED], Operation [3DAUTH], UUID [3630298-1458737401-216] [23/03/2016 at 12:50:00]"/>
  </r>
  <r>
    <s v="3630262-1458737369-224"/>
    <s v="Spot"/>
    <s v="3630262-1458737369-224"/>
    <n v="0"/>
    <d v="2016-03-31T00:00:00"/>
    <x v="1356"/>
    <s v="224"/>
    <s v="SELL"/>
    <n v="9.9662739662739668"/>
    <x v="0"/>
    <x v="1"/>
    <n v="431.44"/>
    <s v="Deal"/>
    <m/>
    <s v="Original Amount [EUR 43.29], Merchant Amount [EUR 43.29], Customer Amount [NOK 431.44], Status [APPROVED], Operation [DIRECT], UUID [3630262-1458737369-224] [23/03/2016 at 12:49:00]"/>
  </r>
  <r>
    <s v="3630253-1458737364-199"/>
    <s v="Spot"/>
    <s v="3630253-1458737364-199"/>
    <n v="0"/>
    <d v="2016-03-31T00:00:00"/>
    <x v="1357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30253-1458737364-199] [23/03/2016 at 12:49:00]"/>
  </r>
  <r>
    <s v="3630274-1458737379-107"/>
    <s v="Spot"/>
    <s v="3630274-1458737379-107"/>
    <n v="0"/>
    <d v="2016-03-31T00:00:00"/>
    <x v="1358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74-1458737379-107] [23/03/2016 at 12:49:00]"/>
  </r>
  <r>
    <s v="3630229-1458737325-119"/>
    <s v="Spot"/>
    <s v="3630229-1458737325-119"/>
    <n v="0"/>
    <d v="2016-03-31T00:00:00"/>
    <x v="135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30229-1458737325-119] [23/03/2016 at 12:48:00]"/>
  </r>
  <r>
    <s v="3630235-1458737331-107"/>
    <s v="Spot"/>
    <s v="3630235-1458737331-107"/>
    <n v="0"/>
    <d v="2016-03-31T00:00:00"/>
    <x v="1360"/>
    <s v="107"/>
    <s v="SELL"/>
    <n v="3.3923959827833574"/>
    <x v="0"/>
    <x v="0"/>
    <n v="47.29"/>
    <s v="Deal"/>
    <m/>
    <s v="Original Amount [EUR 13.94], Merchant Amount [EUR 13.94], Customer Amount [TRY 47.29], Status [APPROVED], Operation [3DAUTH], UUID [3630235-1458737331-107] [23/03/2016 at 12:48:00]"/>
  </r>
  <r>
    <s v="3630238-1458737338-56"/>
    <s v="Spot"/>
    <s v="3630238-1458737338-56"/>
    <n v="0"/>
    <d v="2016-03-31T00:00:00"/>
    <x v="1361"/>
    <s v="56"/>
    <s v="SELL"/>
    <n v="3.3919717871590085"/>
    <x v="0"/>
    <x v="0"/>
    <n v="327.02"/>
    <s v="Deal"/>
    <m/>
    <s v="Original Amount [EUR 96.41], Merchant Amount [EUR 96.41], Customer Amount [TRY 327.02], Status [APPROVED], Operation [3DAUTH], UUID [3630238-1458737338-56] [23/03/2016 at 12:48:00]"/>
  </r>
  <r>
    <s v="3630202-1458737285-119"/>
    <s v="Spot"/>
    <s v="3630202-1458737285-119"/>
    <n v="0"/>
    <d v="2016-03-31T00:00:00"/>
    <x v="1362"/>
    <s v="119"/>
    <s v="SELL"/>
    <n v="9.966333333333333"/>
    <x v="0"/>
    <x v="1"/>
    <n v="1494.95"/>
    <s v="Deal"/>
    <m/>
    <s v="Original Amount [EUR 150], Merchant Amount [EUR 150], Customer Amount [NOK 1494.95], Status [APPROVED], Operation [DIRECT], UUID [3630202-1458737285-119] [23/03/2016 at 12:48:00]"/>
  </r>
  <r>
    <s v="3630241-1458737351-107"/>
    <s v="Spot"/>
    <s v="3630241-1458737351-107"/>
    <n v="0"/>
    <d v="2016-03-31T00:00:00"/>
    <x v="1363"/>
    <s v="107"/>
    <s v="SELL"/>
    <n v="3.396634615384615"/>
    <x v="0"/>
    <x v="0"/>
    <n v="98.91"/>
    <s v="Deal"/>
    <m/>
    <s v="Original Amount [EUR 29.12], Merchant Amount [EUR 29.12], Customer Amount [TRY 98.91], Status [APPROVED], Operation [3DAUTH], UUID [3630241-1458737351-107] [23/03/2016 at 12:49:00]"/>
  </r>
  <r>
    <s v="3630187-1458737263-200"/>
    <s v="Spot"/>
    <s v="3630187-1458737263-200"/>
    <n v="0"/>
    <d v="2016-03-31T00:00:00"/>
    <x v="1364"/>
    <s v="200"/>
    <s v="SELL"/>
    <n v="9.9662996532635812"/>
    <x v="0"/>
    <x v="1"/>
    <n v="1638.36"/>
    <s v="Deal"/>
    <m/>
    <s v="Original Amount [EUR 164.39], Merchant Amount [EUR 164.39], Customer Amount [NOK 1638.36], Status [APPROVED], Operation [STORED], UUID [3630187-1458737263-200] [23/03/2016 at 12:47:00]"/>
  </r>
  <r>
    <s v="3630181-1458737258-261"/>
    <s v="Spot"/>
    <s v="3630181-1458737258-261"/>
    <n v="0"/>
    <d v="2016-03-31T00:00:00"/>
    <x v="1365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30181-1458737258-261] [23/03/2016 at 12:47:00]"/>
  </r>
  <r>
    <s v="3630166-1458737226-224"/>
    <s v="Spot"/>
    <s v="3630166-1458737226-224"/>
    <n v="0"/>
    <d v="2016-03-31T00:00:00"/>
    <x v="1366"/>
    <s v="224"/>
    <s v="SELL"/>
    <n v="9.9664998074701572"/>
    <x v="0"/>
    <x v="1"/>
    <n v="258.83"/>
    <s v="Deal"/>
    <m/>
    <s v="Original Amount [EUR 25.97], Merchant Amount [EUR 25.97], Customer Amount [NOK 258.83], Status [APPROVED], Operation [DIRECT], UUID [3630166-1458737226-224] [23/03/2016 at 12:47:00]"/>
  </r>
  <r>
    <s v="3630163-1458737226-224"/>
    <s v="Spot"/>
    <s v="3630163-1458737226-224"/>
    <n v="0"/>
    <d v="2016-03-31T00:00:00"/>
    <x v="1367"/>
    <s v="224"/>
    <s v="SELL"/>
    <n v="133.03550376970529"/>
    <x v="0"/>
    <x v="3"/>
    <n v="9704.94"/>
    <s v="Deal"/>
    <m/>
    <s v="Original Amount [EUR 72.95], Merchant Amount [EUR 72.95], Customer Amount [JPY 9704.94], Status [APPROVED], Operation [DIRECT], UUID [3630163-1458737226-224] [23/03/2016 at 12:47:00]"/>
  </r>
  <r>
    <s v="3630151-1458737220-224"/>
    <s v="Spot"/>
    <s v="3630151-1458737220-224"/>
    <n v="0"/>
    <d v="2016-03-31T00:00:00"/>
    <x v="1368"/>
    <s v="224"/>
    <s v="SELL"/>
    <n v="9.9662691652470183"/>
    <x v="0"/>
    <x v="1"/>
    <n v="3217.61"/>
    <s v="Deal"/>
    <m/>
    <s v="Original Amount [EUR 322.85], Merchant Amount [EUR 322.85], Customer Amount [NOK 3217.61], Status [APPROVED], Operation [DIRECT], UUID [3630151-1458737220-224] [23/03/2016 at 12:47:00]"/>
  </r>
  <r>
    <s v="3630145-1458737211-199"/>
    <s v="Spot"/>
    <s v="3630145-1458737211-199"/>
    <n v="0"/>
    <d v="2016-03-31T00:00:00"/>
    <x v="1369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30145-1458737211-199] [23/03/2016 at 12:46:00]"/>
  </r>
  <r>
    <s v="3630142-1458737210-224"/>
    <s v="Spot"/>
    <s v="3630142-1458737210-224"/>
    <n v="0"/>
    <d v="2016-03-31T00:00:00"/>
    <x v="1370"/>
    <s v="224"/>
    <s v="SELL"/>
    <n v="133.03552631578947"/>
    <x v="0"/>
    <x v="3"/>
    <n v="6066.42"/>
    <s v="Deal"/>
    <m/>
    <s v="Original Amount [EUR 45.6], Merchant Amount [EUR 45.6], Customer Amount [JPY 6066.42], Status [APPROVED], Operation [DIRECT], UUID [3630142-1458737210-224] [23/03/2016 at 12:46:00]"/>
  </r>
  <r>
    <s v="3630193-1458737268-216"/>
    <s v="Spot"/>
    <s v="3630193-1458737268-216"/>
    <n v="0"/>
    <d v="2016-03-31T00:00:00"/>
    <x v="1371"/>
    <s v="216"/>
    <s v="SELL"/>
    <n v="3.3966247433264889"/>
    <x v="0"/>
    <x v="0"/>
    <n v="529.33000000000004"/>
    <s v="Deal"/>
    <m/>
    <s v="Original Amount [EUR 155.84], Merchant Amount [EUR 155.84], Customer Amount [TRY 529.33], Status [APPROVED], Operation [3DAUTH], UUID [3630193-1458737268-216] [23/03/2016 at 12:47:00]"/>
  </r>
  <r>
    <s v="3630121-1458737193-199"/>
    <s v="Spot"/>
    <s v="3630121-1458737193-199"/>
    <n v="0"/>
    <d v="2016-03-31T00:00:00"/>
    <x v="1372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30121-1458737193-199] [23/03/2016 at 12:46:00]"/>
  </r>
  <r>
    <s v="3630118-1458737192-216"/>
    <s v="Spot"/>
    <s v="3630118-1458737192-216"/>
    <n v="0"/>
    <d v="2016-03-31T00:00:00"/>
    <x v="1373"/>
    <s v="216"/>
    <s v="SELL"/>
    <n v="3.3968559512351617"/>
    <x v="0"/>
    <x v="0"/>
    <n v="105.88"/>
    <s v="Deal"/>
    <m/>
    <s v="Original Amount [EUR 31.17], Merchant Amount [EUR 31.17], Customer Amount [TRY 105.88], Status [WAITING], Operation [3D], UUID [3630118-1458737192-216] [23/03/2016 at 12:46:00]"/>
  </r>
  <r>
    <s v="3630109-1458737188-216"/>
    <s v="Spot"/>
    <s v="3630109-1458737188-216"/>
    <n v="0"/>
    <d v="2016-03-31T00:00:00"/>
    <x v="1374"/>
    <s v="216"/>
    <s v="SELL"/>
    <n v="3.3970064148253742"/>
    <x v="0"/>
    <x v="0"/>
    <n v="47.66"/>
    <s v="Deal"/>
    <m/>
    <s v="Original Amount [EUR 14.03], Merchant Amount [EUR 14.03], Customer Amount [TRY 47.66], Status [APPROVED], Operation [3DAUTH], UUID [3630109-1458737188-216] [23/03/2016 at 12:46:00]"/>
  </r>
  <r>
    <s v="3630061-1458737153-224"/>
    <s v="Spot"/>
    <s v="3630061-1458737153-224"/>
    <n v="0"/>
    <d v="2016-03-31T00:00:00"/>
    <x v="1375"/>
    <s v="224"/>
    <s v="SELL"/>
    <n v="9.966728280961183"/>
    <x v="0"/>
    <x v="1"/>
    <n v="107.84"/>
    <s v="Deal"/>
    <m/>
    <s v="Original Amount [EUR 10.82], Merchant Amount [EUR 10.82], Customer Amount [NOK 107.84], Status [APPROVED], Operation [DIRECT], UUID [3630061-1458737153-224] [23/03/2016 at 12:45:00]"/>
  </r>
  <r>
    <s v="3630058-1458737153-119"/>
    <s v="Spot"/>
    <s v="3630058-1458737153-119"/>
    <n v="0"/>
    <d v="2016-03-31T00:00:00"/>
    <x v="1376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30058-1458737153-119] [23/03/2016 at 12:45:00]"/>
  </r>
  <r>
    <s v="3630052-1458737147-261"/>
    <s v="Spot"/>
    <s v="3630052-1458737147-261"/>
    <n v="0"/>
    <d v="2016-03-31T00:00:00"/>
    <x v="1377"/>
    <s v="261"/>
    <s v="SELL"/>
    <n v="9.9663551401869164"/>
    <x v="0"/>
    <x v="1"/>
    <n v="106.64"/>
    <s v="Deal"/>
    <m/>
    <s v="Original Amount [EUR 10.7], Merchant Amount [EUR 10.7], Customer Amount [NOK 106.64], Status [WAITING], Operation [3D], UUID [3630052-1458737147-261] [23/03/2016 at 12:45:00]"/>
  </r>
  <r>
    <s v="3630049-1458737141-224"/>
    <s v="Spot"/>
    <s v="3630049-1458737141-224"/>
    <n v="0"/>
    <d v="2016-03-31T00:00:00"/>
    <x v="1378"/>
    <s v="224"/>
    <s v="SELL"/>
    <n v="9.966728280961183"/>
    <x v="0"/>
    <x v="1"/>
    <n v="161.76"/>
    <s v="Deal"/>
    <m/>
    <s v="Original Amount [EUR 16.23], Merchant Amount [EUR 16.23], Customer Amount [NOK 161.76], Status [APPROVED], Operation [DIRECT], UUID [3630049-1458737141-224] [23/03/2016 at 12:45:00]"/>
  </r>
  <r>
    <s v="3630046-1458737140-200"/>
    <s v="Spot"/>
    <s v="3630046-1458737140-200"/>
    <n v="0"/>
    <d v="2016-03-31T00:00:00"/>
    <x v="1379"/>
    <s v="200"/>
    <s v="SELL"/>
    <n v="9.9666818804199"/>
    <x v="0"/>
    <x v="1"/>
    <n v="218.37"/>
    <s v="Deal"/>
    <m/>
    <s v="Original Amount [EUR 21.91], Merchant Amount [EUR 21.91], Customer Amount [NOK 218.37], Status [APPROVED], Operation [STORED], UUID [3630046-1458737140-200] [23/03/2016 at 12:45:00]"/>
  </r>
  <r>
    <s v="3630043-1458737139-200"/>
    <s v="Spot"/>
    <s v="3630043-1458737139-200"/>
    <n v="0"/>
    <d v="2016-03-31T00:00:00"/>
    <x v="1380"/>
    <s v="200"/>
    <s v="SELL"/>
    <n v="9.9665450121654491"/>
    <x v="0"/>
    <x v="1"/>
    <n v="327.7"/>
    <s v="Deal"/>
    <m/>
    <s v="Original Amount [EUR 32.88], Merchant Amount [EUR 32.88], Customer Amount [NOK 327.7], Status [APPROVED], Operation [STORED], UUID [3630043-1458737139-200] [23/03/2016 at 12:45:00]"/>
  </r>
  <r>
    <s v="3630085-1458737167-56"/>
    <s v="Spot"/>
    <s v="3630085-1458737167-56"/>
    <n v="0"/>
    <d v="2016-03-31T00:00:00"/>
    <x v="1381"/>
    <s v="56"/>
    <s v="SELL"/>
    <n v="3.3967239967239968"/>
    <x v="0"/>
    <x v="0"/>
    <n v="207.37"/>
    <s v="Deal"/>
    <m/>
    <s v="Original Amount [EUR 61.05], Merchant Amount [EUR 61.05], Customer Amount [TRY 207.37], Status [APPROVED], Operation [3DAUTH], UUID [3630085-1458737167-56] [23/03/2016 at 12:46:00]"/>
  </r>
  <r>
    <s v="3630010-1458737104-224"/>
    <s v="Spot"/>
    <s v="3630010-1458737104-224"/>
    <n v="0"/>
    <d v="2016-03-31T00:00:00"/>
    <x v="1382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30010-1458737104-224] [23/03/2016 at 12:45:00]"/>
  </r>
  <r>
    <s v="3629995-1458737082-124"/>
    <s v="Spot"/>
    <s v="3629995-1458737082-124"/>
    <n v="0"/>
    <d v="2016-03-31T00:00:00"/>
    <x v="1383"/>
    <s v="124"/>
    <s v="SELL"/>
    <n v="9.9546742209631738"/>
    <x v="0"/>
    <x v="1"/>
    <n v="210.84"/>
    <s v="Deal"/>
    <m/>
    <s v="Original Amount [EUR 21.18], Merchant Amount [EUR 21.18], Customer Amount [NOK 210.84], Status [APPROVED], Operation [DIRECT], UUID [3629995-1458737082-124] [23/03/2016 at 12:44:00]"/>
  </r>
  <r>
    <s v="3629989-1458737076-200"/>
    <s v="Spot"/>
    <s v="3629989-1458737076-200"/>
    <n v="0"/>
    <d v="2016-03-31T00:00:00"/>
    <x v="1384"/>
    <s v="200"/>
    <s v="SELL"/>
    <n v="9.956666666666667"/>
    <x v="0"/>
    <x v="1"/>
    <n v="29.87"/>
    <s v="Deal"/>
    <m/>
    <s v="Original Amount [EUR 3], Merchant Amount [EUR 3], Customer Amount [NOK 29.87], Status [APPROVED], Operation [STORED], UUID [3629989-1458737076-200] [23/03/2016 at 12:44:00]"/>
  </r>
  <r>
    <s v="3629986-1458737072-125"/>
    <s v="Spot"/>
    <s v="3629986-1458737072-125"/>
    <n v="0"/>
    <d v="2016-03-31T00:00:00"/>
    <x v="1385"/>
    <s v="125"/>
    <s v="SELL"/>
    <n v="1.5508000000000002"/>
    <x v="0"/>
    <x v="5"/>
    <n v="77.540000000000006"/>
    <s v="Deal"/>
    <m/>
    <s v="Original Amount [EUR 50], Merchant Amount [EUR 50], Customer Amount [AUD 77.54], Status [APPROVED], Operation [DIRECT], UUID [3629986-1458737072-125] [23/03/2016 at 12:44:00]"/>
  </r>
  <r>
    <s v="3629977-1458737068-119"/>
    <s v="Spot"/>
    <s v="3629977-1458737068-119"/>
    <n v="0"/>
    <d v="2016-03-31T00:00:00"/>
    <x v="1386"/>
    <s v="119"/>
    <s v="SELL"/>
    <n v="9.954559999999999"/>
    <x v="0"/>
    <x v="1"/>
    <n v="2488.64"/>
    <s v="Deal"/>
    <m/>
    <s v="Original Amount [EUR 250], Merchant Amount [EUR 250], Customer Amount [NOK 2488.64], Status [APPROVED], Operation [DIRECT], UUID [3629977-1458737068-119] [23/03/2016 at 12:44:00]"/>
  </r>
  <r>
    <s v="3630019-1458737111-216"/>
    <s v="Spot"/>
    <s v="3630019-1458737111-216"/>
    <n v="0"/>
    <d v="2016-03-31T00:00:00"/>
    <x v="1387"/>
    <s v="216"/>
    <s v="SELL"/>
    <n v="3.3920436316971445"/>
    <x v="0"/>
    <x v="0"/>
    <n v="211.46"/>
    <s v="Deal"/>
    <m/>
    <s v="Original Amount [EUR 62.34], Merchant Amount [EUR 62.34], Customer Amount [TRY 211.46], Status [APPROVED], Operation [3DAUTH], UUID [3630019-1458737111-216] [23/03/2016 at 12:45:00]"/>
  </r>
  <r>
    <s v="3629965-1458737050-119"/>
    <s v="Spot"/>
    <s v="3629965-1458737050-119"/>
    <n v="0"/>
    <d v="2016-03-31T00:00:00"/>
    <x v="1388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65-1458737050-119] [23/03/2016 at 12:44:00]"/>
  </r>
  <r>
    <s v="3629959-1458737042-200"/>
    <s v="Spot"/>
    <s v="3629959-1458737042-200"/>
    <n v="0"/>
    <d v="2016-03-31T00:00:00"/>
    <x v="1389"/>
    <s v="200"/>
    <s v="SELL"/>
    <n v="9.9545592797615434"/>
    <x v="0"/>
    <x v="1"/>
    <n v="1636.43"/>
    <s v="Deal"/>
    <m/>
    <s v="Original Amount [EUR 164.39], Merchant Amount [EUR 164.39], Customer Amount [NOK 1636.43], Status [APPROVED], Operation [STORED], UUID [3629959-1458737042-200] [23/03/2016 at 12:44:00]"/>
  </r>
  <r>
    <s v="3629953-1458737027-199"/>
    <s v="Spot"/>
    <s v="3629953-1458737027-199"/>
    <n v="0"/>
    <d v="2016-03-31T00:00:00"/>
    <x v="1390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953-1458737027-199] [23/03/2016 at 12:43:00]"/>
  </r>
  <r>
    <s v="3629950-1458737020-224"/>
    <s v="Spot"/>
    <s v="3629950-1458737020-224"/>
    <n v="0"/>
    <d v="2016-03-31T00:00:00"/>
    <x v="1391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50-1458737020-224] [23/03/2016 at 12:43:00]"/>
  </r>
  <r>
    <s v="3629944-1458737019-119"/>
    <s v="Spot"/>
    <s v="3629944-1458737019-119"/>
    <n v="0"/>
    <d v="2016-03-31T00:00:00"/>
    <x v="1392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944-1458737019-119] [23/03/2016 at 12:43:00]"/>
  </r>
  <r>
    <s v="3629941-1458737016-199"/>
    <s v="Spot"/>
    <s v="3629941-1458737016-199"/>
    <n v="0"/>
    <d v="2016-03-31T00:00:00"/>
    <x v="139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941-1458737016-199] [23/03/2016 at 12:43:00]"/>
  </r>
  <r>
    <s v="3629935-1458737009-224"/>
    <s v="Spot"/>
    <s v="3629935-1458737009-224"/>
    <n v="0"/>
    <d v="2016-03-31T00:00:00"/>
    <x v="1394"/>
    <s v="224"/>
    <s v="SELL"/>
    <n v="133.03552891293225"/>
    <x v="0"/>
    <x v="3"/>
    <n v="18197.93"/>
    <s v="Deal"/>
    <m/>
    <s v="Original Amount [EUR 136.79], Merchant Amount [EUR 136.79], Customer Amount [JPY 18197.93], Status [APPROVED], Operation [DIRECT], UUID [3629935-1458737009-224] [23/03/2016 at 12:43:00]"/>
  </r>
  <r>
    <s v="3629929-1458736994-224"/>
    <s v="Spot"/>
    <s v="3629929-1458736994-224"/>
    <n v="0"/>
    <d v="2016-03-31T00:00:00"/>
    <x v="1395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9929-1458736994-224] [23/03/2016 at 12:43:00]"/>
  </r>
  <r>
    <s v="3629947-1458737019-216"/>
    <s v="Spot"/>
    <s v="3629947-1458737019-216"/>
    <n v="0"/>
    <d v="2016-03-31T00:00:00"/>
    <x v="1396"/>
    <s v="216"/>
    <s v="SELL"/>
    <n v="3.3921411387329585"/>
    <x v="0"/>
    <x v="0"/>
    <n v="42.3"/>
    <s v="Deal"/>
    <m/>
    <s v="Original Amount [EUR 12.47], Merchant Amount [EUR 12.47], Customer Amount [TRY 42.3], Status [APPROVED], Operation [3DAUTH], UUID [3629947-1458737019-216] [23/03/2016 at 12:43:00]"/>
  </r>
  <r>
    <s v="3629905-1458736959-224"/>
    <s v="Spot"/>
    <s v="3629905-1458736959-224"/>
    <n v="0"/>
    <d v="2016-03-31T00:00:00"/>
    <x v="1397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9905-1458736959-224] [23/03/2016 at 12:42:00]"/>
  </r>
  <r>
    <s v="3629923-1458736990-119"/>
    <s v="Spot"/>
    <s v="3629923-1458736990-119"/>
    <n v="0"/>
    <d v="2016-03-31T00:00:00"/>
    <x v="1398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9923-1458736990-119] [23/03/2016 at 12:43:00]"/>
  </r>
  <r>
    <s v="3629896-1458736934-224"/>
    <s v="Spot"/>
    <s v="3629896-1458736934-224"/>
    <n v="0"/>
    <d v="2016-03-31T00:00:00"/>
    <x v="1399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896-1458736934-224] [23/03/2016 at 12:42:00]"/>
  </r>
  <r>
    <s v="3629899-1458736939-101"/>
    <s v="Spot"/>
    <s v="3629899-1458736939-101"/>
    <n v="0"/>
    <d v="2016-03-31T00:00:00"/>
    <x v="1400"/>
    <s v="101"/>
    <s v="SELL"/>
    <n v="3.3883696780893042"/>
    <x v="0"/>
    <x v="0"/>
    <n v="32.630000000000003"/>
    <s v="Deal"/>
    <m/>
    <s v="Original Amount [EUR 9.63], Merchant Amount [EUR 9.63], Customer Amount [TRY 32.63], Status [APPROVED], Operation [3DAUTH], UUID [3629899-1458736939-101] [23/03/2016 at 12:42:00]"/>
  </r>
  <r>
    <s v="3629893-1458736933-216"/>
    <s v="Spot"/>
    <s v="3629893-1458736933-216"/>
    <n v="0"/>
    <d v="2016-03-31T00:00:00"/>
    <x v="1401"/>
    <s v="216"/>
    <s v="SELL"/>
    <n v="3.3878336755646821"/>
    <x v="0"/>
    <x v="0"/>
    <n v="527.96"/>
    <s v="Deal"/>
    <m/>
    <s v="Original Amount [EUR 155.84], Merchant Amount [EUR 155.84], Customer Amount [TRY 527.96], Status [APPROVED], Operation [3DAUTH], UUID [3629893-1458736933-216] [23/03/2016 at 12:42:00]"/>
  </r>
  <r>
    <s v="3629887-1458736928-216"/>
    <s v="Spot"/>
    <s v="3629887-1458736928-216"/>
    <n v="0"/>
    <d v="2016-03-31T00:00:00"/>
    <x v="1402"/>
    <s v="216"/>
    <s v="SELL"/>
    <n v="3.388235294117647"/>
    <x v="0"/>
    <x v="0"/>
    <n v="63.36"/>
    <s v="Deal"/>
    <m/>
    <s v="Original Amount [EUR 18.7], Merchant Amount [EUR 18.7], Customer Amount [TRY 63.36], Status [APPROVED], Operation [3DAUTH], UUID [3629887-1458736928-216] [23/03/2016 at 12:42:00]"/>
  </r>
  <r>
    <s v="3629875-1458736916-203"/>
    <s v="Spot"/>
    <s v="3629875-1458736916-203"/>
    <n v="0"/>
    <d v="2016-03-31T00:00:00"/>
    <x v="1403"/>
    <s v="203"/>
    <s v="SELL"/>
    <n v="3.3879531829860121"/>
    <x v="0"/>
    <x v="0"/>
    <n v="237.36"/>
    <s v="Deal"/>
    <m/>
    <s v="Original Amount [EUR 70.06], Merchant Amount [EUR 70.06], Customer Amount [TRY 237.36], Status [APPROVED], Operation [3DAUTH], UUID [3629875-1458736916-203] [23/03/2016 at 12:41:00]"/>
  </r>
  <r>
    <s v="3629833-1458736863-119"/>
    <s v="Spot"/>
    <s v="3629833-1458736863-119"/>
    <n v="0"/>
    <d v="2016-03-31T00:00:00"/>
    <x v="1404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9833-1458736863-119] [23/03/2016 at 12:41:00]"/>
  </r>
  <r>
    <s v="3629830-1458736862-261"/>
    <s v="Spot"/>
    <s v="3629830-1458736862-261"/>
    <n v="0"/>
    <d v="2016-03-31T00:00:00"/>
    <x v="1405"/>
    <s v="261"/>
    <s v="SELL"/>
    <n v="9.9514018691588788"/>
    <x v="0"/>
    <x v="1"/>
    <n v="106.48"/>
    <s v="Deal"/>
    <m/>
    <s v="Original Amount [EUR 10.7], Merchant Amount [EUR 10.7], Customer Amount [NOK 106.48], Status [APPROVED], Operation [DIRECT], UUID [3629830-1458736862-261] [23/03/2016 at 12:41:00]"/>
  </r>
  <r>
    <s v="3629824-1458736856-199"/>
    <s v="Spot"/>
    <s v="3629824-1458736856-199"/>
    <n v="0"/>
    <d v="2016-03-31T00:00:00"/>
    <x v="140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9824-1458736856-199] [23/03/2016 at 12:40:00]"/>
  </r>
  <r>
    <s v="3629812-1458736847-56"/>
    <s v="Spot"/>
    <s v="3629812-1458736847-56"/>
    <n v="0"/>
    <d v="2016-03-31T00:00:00"/>
    <x v="1407"/>
    <s v="56"/>
    <s v="SELL"/>
    <n v="3.3879423328964617"/>
    <x v="0"/>
    <x v="0"/>
    <n v="103.4"/>
    <s v="Deal"/>
    <m/>
    <s v="Original Amount [EUR 30.52], Merchant Amount [EUR 30.52], Customer Amount [TRY 103.4], Status [WAITING], Operation [3D], UUID [3629812-1458736847-56] [23/03/2016 at 12:40:00]"/>
  </r>
  <r>
    <s v="3629806-1458736844-216"/>
    <s v="Spot"/>
    <s v="3629806-1458736844-216"/>
    <n v="0"/>
    <d v="2016-03-31T00:00:00"/>
    <x v="1408"/>
    <s v="216"/>
    <s v="SELL"/>
    <n v="3.3881064162754302"/>
    <x v="0"/>
    <x v="0"/>
    <n v="86.6"/>
    <s v="Deal"/>
    <m/>
    <s v="Original Amount [EUR 25.56], Merchant Amount [EUR 25.56], Customer Amount [TRY 86.6], Status [APPROVED], Operation [3DAUTH], UUID [3629806-1458736844-216] [23/03/2016 at 12:40:00]"/>
  </r>
  <r>
    <s v="3629791-1458736821-145"/>
    <s v="Spot"/>
    <s v="3629791-1458736821-145"/>
    <n v="0"/>
    <d v="2016-03-31T00:00:00"/>
    <x v="1409"/>
    <s v="145"/>
    <s v="SELL"/>
    <n v="9.9506017462440024"/>
    <x v="0"/>
    <x v="1"/>
    <n v="1265.02"/>
    <s v="Deal"/>
    <m/>
    <s v="Original Amount [EUR 127.13], Merchant Amount [EUR 127.13], Customer Amount [NOK 1265.02], Status [APPROVED], Operation [DIRECT], UUID [3629791-1458736821-145] [23/03/2016 at 12:40:00]"/>
  </r>
  <r>
    <s v="3629767-1458736778-224"/>
    <s v="Spot"/>
    <s v="3629767-1458736778-224"/>
    <n v="0"/>
    <d v="2016-03-31T00:00:00"/>
    <x v="1410"/>
    <s v="224"/>
    <s v="SELL"/>
    <n v="9.9506335797254479"/>
    <x v="0"/>
    <x v="1"/>
    <n v="376.93"/>
    <s v="Deal"/>
    <m/>
    <s v="Original Amount [EUR 37.88], Merchant Amount [EUR 37.88], Customer Amount [NOK 376.93], Status [APPROVED], Operation [DIRECT], UUID [3629767-1458736778-224] [23/03/2016 at 12:39:00]"/>
  </r>
  <r>
    <s v="3629764-1458736776-224"/>
    <s v="Spot"/>
    <s v="3629764-1458736776-224"/>
    <n v="0"/>
    <d v="2016-03-31T00:00:00"/>
    <x v="1411"/>
    <s v="224"/>
    <s v="SELL"/>
    <n v="132.83260233918131"/>
    <x v="0"/>
    <x v="3"/>
    <n v="3634.3"/>
    <s v="Deal"/>
    <m/>
    <s v="Original Amount [EUR 27.36], Merchant Amount [EUR 27.36], Customer Amount [JPY 3634.3], Status [APPROVED], Operation [DIRECT], UUID [3629764-1458736776-224] [23/03/2016 at 12:39:00]"/>
  </r>
  <r>
    <s v="3629755-1458736761-56"/>
    <s v="Spot"/>
    <s v="3629755-1458736761-56"/>
    <n v="0"/>
    <d v="2016-03-31T00:00:00"/>
    <x v="1412"/>
    <s v="56"/>
    <s v="SELL"/>
    <n v="3.387920298879203"/>
    <x v="0"/>
    <x v="0"/>
    <n v="54.41"/>
    <s v="Deal"/>
    <m/>
    <s v="Original Amount [EUR 16.06], Merchant Amount [EUR 16.06], Customer Amount [TRY 54.41], Status [WAITING], Operation [3D], UUID [3629755-1458736761-56] [23/03/2016 at 12:39:00]"/>
  </r>
  <r>
    <s v="3629746-1458736728-224"/>
    <s v="Spot"/>
    <s v="3629746-1458736728-224"/>
    <n v="0"/>
    <d v="2016-03-31T00:00:00"/>
    <x v="141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746-1458736728-224] [23/03/2016 at 12:38:00]"/>
  </r>
  <r>
    <s v="3629776-1458736792-216"/>
    <s v="Spot"/>
    <s v="3629776-1458736792-216"/>
    <n v="0"/>
    <d v="2016-03-31T00:00:00"/>
    <x v="1414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776-1458736792-216] [23/03/2016 at 12:39:00]"/>
  </r>
  <r>
    <s v="3629740-1458736704-238"/>
    <s v="Spot"/>
    <s v="3629740-1458736704-238"/>
    <n v="0"/>
    <d v="2016-03-31T00:00:00"/>
    <x v="14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9740-1458736704-238] [23/03/2016 at 12:38:00]"/>
  </r>
  <r>
    <s v="3629737-1458736701-261"/>
    <s v="Spot"/>
    <s v="3629737-1458736701-261"/>
    <n v="0"/>
    <d v="2016-03-31T00:00:00"/>
    <x v="1416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DIRECT], UUID [3629737-1458736701-261] [23/03/2016 at 12:38:00]"/>
  </r>
  <r>
    <s v="3629731-1458736697-119"/>
    <s v="Spot"/>
    <s v="3629731-1458736697-119"/>
    <n v="0"/>
    <d v="2016-03-31T00:00:00"/>
    <x v="1417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9731-1458736697-119] [23/03/2016 at 12:38:00]"/>
  </r>
  <r>
    <s v="3629719-1458736689-145"/>
    <s v="Spot"/>
    <s v="3629719-1458736689-145"/>
    <n v="0"/>
    <d v="2016-03-31T00:00:00"/>
    <x v="1418"/>
    <s v="145"/>
    <s v="SELL"/>
    <n v="9.954688483322844"/>
    <x v="0"/>
    <x v="1"/>
    <n v="632.72"/>
    <s v="Deal"/>
    <m/>
    <s v="Original Amount [EUR 63.56], Merchant Amount [EUR 63.56], Customer Amount [NOK 632.72], Status [APPROVED], Operation [DIRECT], UUID [3629719-1458736689-145] [23/03/2016 at 12:38:00]"/>
  </r>
  <r>
    <s v="3629710-1458736679-200"/>
    <s v="Spot"/>
    <s v="3629710-1458736679-200"/>
    <n v="0"/>
    <d v="2016-03-31T00:00:00"/>
    <x v="14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9710-1458736679-200] [23/03/2016 at 12:37:00]"/>
  </r>
  <r>
    <s v="3629698-1458736668-224"/>
    <s v="Spot"/>
    <s v="3629698-1458736668-224"/>
    <n v="0"/>
    <d v="2016-03-31T00:00:00"/>
    <x v="1420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9698-1458736668-224] [23/03/2016 at 12:37:00]"/>
  </r>
  <r>
    <s v="3629728-1458736694-216"/>
    <s v="Spot"/>
    <s v="3629728-1458736694-216"/>
    <n v="0"/>
    <d v="2016-03-31T00:00:00"/>
    <x v="1421"/>
    <s v="216"/>
    <s v="SELL"/>
    <n v="3.3923006416131987"/>
    <x v="0"/>
    <x v="0"/>
    <n v="37.01"/>
    <s v="Deal"/>
    <m/>
    <s v="Original Amount [EUR 10.91], Merchant Amount [EUR 10.91], Customer Amount [TRY 37.01], Status [APPROVED], Operation [3DAUTH], UUID [3629728-1458736694-216] [23/03/2016 at 12:38:00]"/>
  </r>
  <r>
    <s v="3629692-1458736666-203"/>
    <s v="Spot"/>
    <s v="3629692-1458736666-203"/>
    <n v="0"/>
    <d v="2016-03-31T00:00:00"/>
    <x v="1422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9692-1458736666-203] [23/03/2016 at 12:37:00]"/>
  </r>
  <r>
    <s v="3629686-1458736653-224"/>
    <s v="Spot"/>
    <s v="3629686-1458736653-224"/>
    <n v="0"/>
    <d v="2016-03-31T00:00:00"/>
    <x v="1423"/>
    <s v="224"/>
    <s v="SELL"/>
    <n v="133.03784969829951"/>
    <x v="0"/>
    <x v="3"/>
    <n v="2425.2800000000002"/>
    <s v="Deal"/>
    <m/>
    <s v="Original Amount [EUR 18.23], Merchant Amount [EUR 18.23], Customer Amount [JPY 2425.28], Status [APPROVED], Operation [DIRECT], UUID [3629686-1458736653-224] [23/03/2016 at 12:37:00]"/>
  </r>
  <r>
    <s v="3629704-1458736673-216"/>
    <s v="Spot"/>
    <s v="3629704-1458736673-216"/>
    <n v="0"/>
    <d v="2016-03-31T00:00:00"/>
    <x v="1424"/>
    <s v="216"/>
    <s v="SELL"/>
    <n v="3.3920608108108108"/>
    <x v="0"/>
    <x v="0"/>
    <n v="200.81"/>
    <s v="Deal"/>
    <m/>
    <s v="Original Amount [EUR 59.2], Merchant Amount [EUR 59.2], Customer Amount [TRY 200.81], Status [APPROVED], Operation [3DAUTH], UUID [3629704-1458736673-216] [23/03/2016 at 12:37:00]"/>
  </r>
  <r>
    <s v="3629689-1458736666-119"/>
    <s v="Spot"/>
    <s v="3629689-1458736666-119"/>
    <n v="0"/>
    <d v="2016-03-31T00:00:00"/>
    <x v="1425"/>
    <s v="119"/>
    <s v="SELL"/>
    <n v="9.954600000000001"/>
    <x v="0"/>
    <x v="1"/>
    <n v="497.73"/>
    <s v="Deal"/>
    <m/>
    <s v="Original Amount [EUR 50], Merchant Amount [EUR 50], Customer Amount [NOK 497.73], Status [APPROVED], Operation [3DAUTH], UUID [3629689-1458736666-119] [23/03/2016 at 12:37:00]"/>
  </r>
  <r>
    <s v="3629659-1458736613-216"/>
    <s v="Spot"/>
    <s v="3629659-1458736613-216"/>
    <n v="0"/>
    <d v="2016-03-31T00:00:00"/>
    <x v="1426"/>
    <s v="216"/>
    <s v="SELL"/>
    <n v="3.3920608108108108"/>
    <x v="0"/>
    <x v="0"/>
    <n v="200.81"/>
    <s v="Deal"/>
    <m/>
    <s v="Original Amount [EUR 59.2], Merchant Amount [EUR 59.2], Customer Amount [TRY 200.81], Status [WAITING], Operation [3D], UUID [3629659-1458736613-216] [23/03/2016 at 12:36:00]"/>
  </r>
  <r>
    <s v="3629656-1458736612-261"/>
    <s v="Spot"/>
    <s v="3629656-1458736612-261"/>
    <n v="0"/>
    <d v="2016-03-31T00:00:00"/>
    <x v="1427"/>
    <s v="261"/>
    <s v="SELL"/>
    <n v="9.9546728971962626"/>
    <x v="0"/>
    <x v="1"/>
    <n v="213.03"/>
    <s v="Deal"/>
    <m/>
    <s v="Original Amount [EUR 21.4], Merchant Amount [EUR 21.4], Customer Amount [NOK 213.03], Status [APPROVED], Operation [DIRECT], UUID [3629656-1458736612-261] [23/03/2016 at 12:36:00]"/>
  </r>
  <r>
    <s v="3629650-1458736603-187"/>
    <s v="Spot"/>
    <s v="3629650-1458736603-187"/>
    <n v="0"/>
    <d v="2016-03-31T00:00:00"/>
    <x v="1428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9650-1458736603-187] [23/03/2016 at 12:36:00]"/>
  </r>
  <r>
    <s v="3629632-1458736583-119"/>
    <s v="Spot"/>
    <s v="3629632-1458736583-119"/>
    <n v="0"/>
    <d v="2016-03-31T00:00:00"/>
    <x v="142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9632-1458736583-119] [23/03/2016 at 12:36:00]"/>
  </r>
  <r>
    <s v="3629647-1458736601-264"/>
    <s v="Spot"/>
    <s v="3629647-1458736601-264"/>
    <n v="0"/>
    <d v="2016-03-31T00:00:00"/>
    <x v="1430"/>
    <s v="264"/>
    <s v="SELL"/>
    <n v="3.3922829581993565"/>
    <x v="0"/>
    <x v="0"/>
    <n v="31.65"/>
    <s v="Deal"/>
    <m/>
    <s v="Original Amount [TRY 30], Merchant Amount [EUR 9.33], Customer Amount [TRY 31.65], Status [APPROVED], Operation [3DAUTH], UUID [3629647-1458736601-264] [23/03/2016 at 12:36:00]"/>
  </r>
  <r>
    <s v="3629653-1458736612-61"/>
    <s v="Spot"/>
    <s v="3629653-1458736612-61"/>
    <n v="0"/>
    <d v="2016-03-31T00:00:00"/>
    <x v="1431"/>
    <s v="61"/>
    <s v="SELL"/>
    <n v="9.954600000000001"/>
    <x v="0"/>
    <x v="1"/>
    <n v="995.46"/>
    <s v="Deal"/>
    <m/>
    <s v="Original Amount [EUR 100], Merchant Amount [EUR 100], Customer Amount [NOK 995.46], Status [APPROVED], Operation [3DAUTH], UUID [3629653-1458736612-61] [23/03/2016 at 12:36:00]"/>
  </r>
  <r>
    <s v="3629620-1458736574-224"/>
    <s v="Spot"/>
    <s v="3629620-1458736574-224"/>
    <n v="0"/>
    <d v="2016-03-31T00:00:00"/>
    <x v="1432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620-1458736574-224] [23/03/2016 at 12:36:00]"/>
  </r>
  <r>
    <s v="3629617-1458736573-119"/>
    <s v="Spot"/>
    <s v="3629617-1458736573-119"/>
    <n v="0"/>
    <d v="2016-03-31T00:00:00"/>
    <x v="1433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9617-1458736573-119] [23/03/2016 at 12:36:00]"/>
  </r>
  <r>
    <s v="3629614-1458736568-224"/>
    <s v="Spot"/>
    <s v="3629614-1458736568-224"/>
    <n v="0"/>
    <d v="2016-03-31T00:00:00"/>
    <x v="1434"/>
    <s v="224"/>
    <s v="SELL"/>
    <n v="133.03763795453546"/>
    <x v="0"/>
    <x v="3"/>
    <n v="30256.75"/>
    <s v="Deal"/>
    <m/>
    <s v="Original Amount [EUR 227.43], Merchant Amount [EUR 227.43], Customer Amount [JPY 30256.75], Status [APPROVED], Operation [DIRECT], UUID [3629614-1458736568-224] [23/03/2016 at 12:36:00]"/>
  </r>
  <r>
    <s v="3629611-1458736565-261"/>
    <s v="Spot"/>
    <s v="3629611-1458736565-261"/>
    <n v="0"/>
    <d v="2016-03-31T00:00:00"/>
    <x v="1435"/>
    <s v="261"/>
    <s v="SELL"/>
    <n v="9.9545846507617135"/>
    <x v="0"/>
    <x v="1"/>
    <n v="3116.88"/>
    <s v="Deal"/>
    <m/>
    <s v="Original Amount [EUR 313.11], Merchant Amount [EUR 313.11], Customer Amount [NOK 3116.88], Status [APPROVED], Operation [DIRECT], UUID [3629611-1458736565-261] [23/03/2016 at 12:36:00]"/>
  </r>
  <r>
    <s v="3629638-1458736588-56"/>
    <s v="Spot"/>
    <s v="3629638-1458736588-56"/>
    <n v="0"/>
    <d v="2016-03-31T00:00:00"/>
    <x v="1436"/>
    <s v="56"/>
    <s v="SELL"/>
    <n v="3.392010832769127"/>
    <x v="0"/>
    <x v="0"/>
    <n v="50.1"/>
    <s v="Deal"/>
    <m/>
    <s v="Original Amount [EUR 14.77], Merchant Amount [EUR 14.77], Customer Amount [TRY 50.1], Status [APPROVED], Operation [3DAUTH], UUID [3629638-1458736588-56] [23/03/2016 at 12:36:00]"/>
  </r>
  <r>
    <s v="3629602-1458736550-199"/>
    <s v="Spot"/>
    <s v="3629602-1458736550-199"/>
    <n v="0"/>
    <d v="2016-03-31T00:00:00"/>
    <x v="1437"/>
    <s v="199"/>
    <s v="SELL"/>
    <n v="9.9755154639175263"/>
    <x v="0"/>
    <x v="1"/>
    <n v="541.87"/>
    <s v="Deal"/>
    <m/>
    <s v="Original Amount [EUR 54.32], Merchant Amount [EUR 54.32], Customer Amount [NOK 541.87], Status [APPROVED], Operation [DIRECT], UUID [3629602-1458736550-199] [23/03/2016 at 12:35:00]"/>
  </r>
  <r>
    <s v="3629599-1458736537-212"/>
    <s v="Spot"/>
    <s v="3629599-1458736537-212"/>
    <n v="0"/>
    <d v="2016-03-31T00:00:00"/>
    <x v="1438"/>
    <s v="212"/>
    <s v="SELL"/>
    <n v="0.83333333333333337"/>
    <x v="0"/>
    <x v="4"/>
    <n v="10"/>
    <s v="Deal"/>
    <m/>
    <s v="Original Amount [EUR 12], Merchant Amount [EUR 12], Customer Amount [GBP 10], Status [APPROVED], Operation [3DAUTH], UUID [3629599-1458736537-212] [23/03/2016 at 12:35:00]"/>
  </r>
  <r>
    <s v="3629590-1458736530-196"/>
    <s v="Spot"/>
    <s v="3629590-1458736530-196"/>
    <n v="0"/>
    <d v="2016-03-31T00:00:00"/>
    <x v="1439"/>
    <s v="196"/>
    <s v="SELL"/>
    <n v="9.975903614457831"/>
    <x v="0"/>
    <x v="1"/>
    <n v="99.36"/>
    <s v="Deal"/>
    <m/>
    <s v="Original Amount [EUR 9.96], Merchant Amount [EUR 9.96], Customer Amount [NOK 99.36], Status [APPROVED], Operation [3DAUTH], UUID [3629590-1458736530-196] [23/03/2016 at 12:35:00]"/>
  </r>
  <r>
    <s v="3629575-1458736478-261"/>
    <s v="Spot"/>
    <s v="3629575-1458736478-261"/>
    <n v="0"/>
    <d v="2016-03-31T00:00:00"/>
    <x v="1440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75-1458736478-261] [23/03/2016 at 12:34:00]"/>
  </r>
  <r>
    <s v="3629569-1458736473-224"/>
    <s v="Spot"/>
    <s v="3629569-1458736473-224"/>
    <n v="0"/>
    <d v="2016-03-31T00:00:00"/>
    <x v="1441"/>
    <s v="224"/>
    <s v="SELL"/>
    <n v="9.9754227108934685"/>
    <x v="0"/>
    <x v="1"/>
    <n v="1079.6400000000001"/>
    <s v="Deal"/>
    <m/>
    <s v="Original Amount [EUR 108.23], Merchant Amount [EUR 108.23], Customer Amount [NOK 1079.64], Status [APPROVED], Operation [DIRECT], UUID [3629569-1458736473-224] [23/03/2016 at 12:34:00]"/>
  </r>
  <r>
    <s v="3629557-1458736464-224"/>
    <s v="Spot"/>
    <s v="3629557-1458736464-224"/>
    <n v="0"/>
    <d v="2016-03-31T00:00:00"/>
    <x v="1442"/>
    <s v="224"/>
    <s v="SELL"/>
    <n v="9.9754204398447612"/>
    <x v="0"/>
    <x v="1"/>
    <n v="539.77"/>
    <s v="Deal"/>
    <m/>
    <s v="Original Amount [EUR 54.11], Merchant Amount [EUR 54.11], Customer Amount [NOK 539.77], Status [APPROVED], Operation [DIRECT], UUID [3629557-1458736464-224] [23/03/2016 at 12:34:00]"/>
  </r>
  <r>
    <s v="3629554-1458736462-261"/>
    <s v="Spot"/>
    <s v="3629554-1458736462-261"/>
    <n v="0"/>
    <d v="2016-03-31T00:00:00"/>
    <x v="1443"/>
    <s v="261"/>
    <s v="SELL"/>
    <n v="9.9753692278930632"/>
    <x v="0"/>
    <x v="1"/>
    <n v="2134.33"/>
    <s v="Deal"/>
    <m/>
    <s v="Original Amount [EUR 213.96], Merchant Amount [EUR 213.96], Customer Amount [NOK 2134.33], Status [APPROVED], Operation [DIRECT], UUID [3629554-1458736462-261] [23/03/2016 at 12:34:00]"/>
  </r>
  <r>
    <s v="3629566-1458736472-264"/>
    <s v="Spot"/>
    <s v="3629566-1458736472-264"/>
    <n v="0"/>
    <d v="2016-03-31T00:00:00"/>
    <x v="1444"/>
    <s v="264"/>
    <s v="SELL"/>
    <n v="3.3938527519656896"/>
    <x v="0"/>
    <x v="0"/>
    <n v="47.48"/>
    <s v="Deal"/>
    <m/>
    <s v="Original Amount [TRY 45], Merchant Amount [EUR 13.99], Customer Amount [TRY 47.48], Status [APPROVED], Operation [3DAUTH], UUID [3629566-1458736472-264] [23/03/2016 at 12:34:00]"/>
  </r>
  <r>
    <s v="3629563-1458736467-216"/>
    <s v="Spot"/>
    <s v="3629563-1458736467-216"/>
    <n v="0"/>
    <d v="2016-03-31T00:00:00"/>
    <x v="1445"/>
    <s v="216"/>
    <s v="SELL"/>
    <n v="3.3880716769189623"/>
    <x v="0"/>
    <x v="0"/>
    <n v="126.68"/>
    <s v="Deal"/>
    <m/>
    <s v="Original Amount [EUR 37.39], Merchant Amount [EUR 37.39], Customer Amount [TRY 126.68], Status [APPROVED], Operation [3DAUTH], UUID [3629563-1458736467-216] [23/03/2016 at 12:34:00]"/>
  </r>
  <r>
    <s v="3629500-1458736413-200"/>
    <s v="Spot"/>
    <s v="3629500-1458736413-200"/>
    <n v="0"/>
    <d v="2016-03-31T00:00:00"/>
    <x v="1446"/>
    <s v="200"/>
    <s v="SELL"/>
    <n v="9.9753649635036492"/>
    <x v="0"/>
    <x v="1"/>
    <n v="327.99"/>
    <s v="Deal"/>
    <m/>
    <s v="Original Amount [EUR 32.88], Merchant Amount [EUR 32.88], Customer Amount [NOK 327.99], Status [APPROVED], Operation [STORED], UUID [3629500-1458736413-200] [23/03/2016 at 12:33:00]"/>
  </r>
  <r>
    <s v="3629479-1458736398-119"/>
    <s v="Spot"/>
    <s v="3629479-1458736398-119"/>
    <n v="0"/>
    <d v="2016-03-31T00:00:00"/>
    <x v="1447"/>
    <s v="119"/>
    <s v="SELL"/>
    <n v="9.9756"/>
    <x v="0"/>
    <x v="1"/>
    <n v="249.39"/>
    <s v="Deal"/>
    <m/>
    <s v="Original Amount [EUR 25], Merchant Amount [EUR 25], Customer Amount [NOK 249.39], Status [APPROVED], Operation [DIRECT], UUID [3629479-1458736398-119] [23/03/2016 at 12:33:00]"/>
  </r>
  <r>
    <s v="3629476-1458736397-200"/>
    <s v="Spot"/>
    <s v="3629476-1458736397-200"/>
    <n v="0"/>
    <d v="2016-03-31T00:00:00"/>
    <x v="1448"/>
    <s v="200"/>
    <s v="SELL"/>
    <n v="9.9753649635036492"/>
    <x v="0"/>
    <x v="1"/>
    <n v="546.65"/>
    <s v="Deal"/>
    <m/>
    <s v="Original Amount [EUR 54.8], Merchant Amount [EUR 54.8], Customer Amount [NOK 546.65], Status [APPROVED], Operation [STORED], UUID [3629476-1458736397-200] [23/03/2016 at 12:33:00]"/>
  </r>
  <r>
    <s v="3629491-1458736404-216"/>
    <s v="Spot"/>
    <s v="3629491-1458736404-216"/>
    <n v="0"/>
    <d v="2016-03-31T00:00:00"/>
    <x v="1449"/>
    <s v="216"/>
    <s v="SELL"/>
    <n v="3.3885516045099742"/>
    <x v="0"/>
    <x v="0"/>
    <n v="39.07"/>
    <s v="Deal"/>
    <m/>
    <s v="Original Amount [EUR 11.53], Merchant Amount [EUR 11.53], Customer Amount [TRY 39.07], Status [APPROVED], Operation [3DAUTH], UUID [3629491-1458736404-216] [23/03/2016 at 12:33:00]"/>
  </r>
  <r>
    <s v="3629515-1458736422-56"/>
    <s v="Spot"/>
    <s v="3629515-1458736422-56"/>
    <n v="0"/>
    <d v="2016-03-31T00:00:00"/>
    <x v="1450"/>
    <s v="56"/>
    <s v="SELL"/>
    <n v="3.3922789539227898"/>
    <x v="0"/>
    <x v="0"/>
    <n v="27.24"/>
    <s v="Deal"/>
    <m/>
    <s v="Original Amount [EUR 8.03], Merchant Amount [EUR 8.03], Customer Amount [TRY 27.24], Status [APPROVED], Operation [3DAUTH], UUID [3629515-1458736422-56] [23/03/2016 at 12:33:00]"/>
  </r>
  <r>
    <s v="3629443-1458736365-199"/>
    <s v="Spot"/>
    <s v="3629443-1458736365-199"/>
    <n v="0"/>
    <d v="2016-03-31T00:00:00"/>
    <x v="1451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9443-1458736365-199] [23/03/2016 at 12:32:00]"/>
  </r>
  <r>
    <s v="3629440-1458736364-224"/>
    <s v="Spot"/>
    <s v="3629440-1458736364-224"/>
    <n v="0"/>
    <d v="2016-03-31T00:00:00"/>
    <x v="1452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9440-1458736364-224] [23/03/2016 at 12:32:00]"/>
  </r>
  <r>
    <s v="3629470-1458736387-160"/>
    <s v="Spot"/>
    <s v="3629470-1458736387-160"/>
    <n v="0"/>
    <d v="2016-03-31T00:00:00"/>
    <x v="1453"/>
    <s v="160"/>
    <s v="SELL"/>
    <n v="3.3920369177935177"/>
    <x v="0"/>
    <x v="0"/>
    <n v="316.07"/>
    <s v="Deal"/>
    <m/>
    <s v="Original Amount [EUR 93.18], Merchant Amount [EUR 93.18], Customer Amount [TRY 316.07], Status [APPROVED], Operation [3DAUTH], UUID [3629470-1458736387-160] [23/03/2016 at 12:33:00]"/>
  </r>
  <r>
    <s v="3629431-1458736354-161"/>
    <s v="Spot"/>
    <s v="3629431-1458736354-161"/>
    <n v="0"/>
    <d v="2016-03-31T00:00:00"/>
    <x v="1454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431-1458736354-161] [23/03/2016 at 12:32:00]"/>
  </r>
  <r>
    <s v="3629425-1458736351-224"/>
    <s v="Spot"/>
    <s v="3629425-1458736351-224"/>
    <n v="0"/>
    <d v="2016-03-31T00:00:00"/>
    <x v="1455"/>
    <s v="224"/>
    <s v="SELL"/>
    <n v="133.03579676674363"/>
    <x v="0"/>
    <x v="3"/>
    <n v="2304.1799999999998"/>
    <s v="Deal"/>
    <m/>
    <s v="Original Amount [EUR 17.32], Merchant Amount [EUR 17.32], Customer Amount [JPY 2304.18], Status [APPROVED], Operation [DIRECT], UUID [3629425-1458736351-224] [23/03/2016 at 12:32:00]"/>
  </r>
  <r>
    <s v="3629413-1458736345-200"/>
    <s v="Spot"/>
    <s v="3629413-1458736345-200"/>
    <n v="0"/>
    <d v="2016-03-31T00:00:00"/>
    <x v="1456"/>
    <s v="200"/>
    <s v="SELL"/>
    <n v="9.9550000000000001"/>
    <x v="0"/>
    <x v="1"/>
    <n v="39.82"/>
    <s v="Deal"/>
    <m/>
    <s v="Original Amount [EUR 4], Merchant Amount [EUR 4], Customer Amount [NOK 39.82], Status [APPROVED], Operation [STORED], UUID [3629413-1458736345-200] [23/03/2016 at 12:32:00]"/>
  </r>
  <r>
    <s v="3629428-1458736352-126"/>
    <s v="Spot"/>
    <s v="3629428-1458736352-126"/>
    <n v="0"/>
    <d v="2016-03-31T00:00:00"/>
    <x v="1457"/>
    <s v="126"/>
    <s v="SELL"/>
    <n v="9.9546341463414638"/>
    <x v="0"/>
    <x v="1"/>
    <n v="1020.35"/>
    <s v="Deal"/>
    <m/>
    <s v="Original Amount [EUR 102.5], Merchant Amount [EUR 102.5], Customer Amount [NOK 1020.35], Status [APPROVED], Operation [3DAUTH], UUID [3629428-1458736352-126] [23/03/2016 at 12:32:00]"/>
  </r>
  <r>
    <s v="3629392-1458736328-161"/>
    <s v="Spot"/>
    <s v="3629392-1458736328-161"/>
    <n v="0"/>
    <d v="2016-03-31T00:00:00"/>
    <x v="145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9392-1458736328-161] [23/03/2016 at 12:32:00]"/>
  </r>
  <r>
    <s v="3629401-1458736335-212"/>
    <s v="Spot"/>
    <s v="3629401-1458736335-212"/>
    <n v="0"/>
    <d v="2016-03-31T00:00:00"/>
    <x v="1459"/>
    <s v="212"/>
    <s v="SELL"/>
    <n v="0.83399999999999996"/>
    <x v="0"/>
    <x v="4"/>
    <n v="8.34"/>
    <s v="Deal"/>
    <m/>
    <s v="Original Amount [EUR 10], Merchant Amount [EUR 10], Customer Amount [GBP 8.34], Status [APPROVED], Operation [3DAUTH], UUID [3629401-1458736335-212] [23/03/2016 at 12:32:00]"/>
  </r>
  <r>
    <s v="3629461-1458736381-56"/>
    <s v="Spot"/>
    <s v="3629461-1458736381-56"/>
    <n v="0"/>
    <d v="2016-03-31T00:00:00"/>
    <x v="1460"/>
    <s v="56"/>
    <s v="SELL"/>
    <n v="3.3925233644859811"/>
    <x v="0"/>
    <x v="0"/>
    <n v="32.67"/>
    <s v="Deal"/>
    <m/>
    <s v="Original Amount [EUR 9.63], Merchant Amount [EUR 9.63], Customer Amount [TRY 32.67], Status [APPROVED], Operation [3DAUTH], UUID [3629461-1458736381-56] [23/03/2016 at 12:33:00]"/>
  </r>
  <r>
    <s v="3629365-1458736310-111"/>
    <s v="Spot"/>
    <s v="3629365-1458736310-111"/>
    <n v="0"/>
    <d v="2016-03-31T00:00:00"/>
    <x v="1461"/>
    <s v="111"/>
    <s v="SELL"/>
    <n v="1.5462415077799694"/>
    <x v="0"/>
    <x v="2"/>
    <n v="141.11000000000001"/>
    <s v="Deal"/>
    <m/>
    <s v="Original Amount [EUR 91.26], Merchant Amount [EUR 91.26], Customer Amount [CAD 141.11], Status [APPROVED], Operation [DIRECT], UUID [3629365-1458736310-111] [23/03/2016 at 12:31:00]"/>
  </r>
  <r>
    <s v="3629344-1458736288-161"/>
    <s v="Spot"/>
    <s v="3629344-1458736288-161"/>
    <n v="0"/>
    <d v="2016-03-31T00:00:00"/>
    <x v="1462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344-1458736288-161] [23/03/2016 at 12:31:00]"/>
  </r>
  <r>
    <s v="3629353-1458736301-216"/>
    <s v="Spot"/>
    <s v="3629353-1458736301-216"/>
    <n v="0"/>
    <d v="2016-03-31T00:00:00"/>
    <x v="1463"/>
    <s v="216"/>
    <s v="SELL"/>
    <n v="3.3920089858793321"/>
    <x v="0"/>
    <x v="0"/>
    <n v="211.39"/>
    <s v="Deal"/>
    <m/>
    <s v="Original Amount [EUR 62.32], Merchant Amount [EUR 62.32], Customer Amount [TRY 211.39], Status [APPROVED], Operation [3DAUTH], UUID [3629353-1458736301-216] [23/03/2016 at 12:31:00]"/>
  </r>
  <r>
    <s v="3629359-1458736305-216"/>
    <s v="Spot"/>
    <s v="3629359-1458736305-216"/>
    <n v="0"/>
    <d v="2016-03-31T00:00:00"/>
    <x v="1464"/>
    <s v="216"/>
    <s v="SELL"/>
    <n v="3.3921694480102698"/>
    <x v="0"/>
    <x v="0"/>
    <n v="105.7"/>
    <s v="Deal"/>
    <m/>
    <s v="Original Amount [EUR 31.16], Merchant Amount [EUR 31.16], Customer Amount [TRY 105.7], Status [APPROVED], Operation [3DAUTH], UUID [3629359-1458736305-216] [23/03/2016 at 12:31:00]"/>
  </r>
  <r>
    <s v="3629374-1458736316-216"/>
    <s v="Spot"/>
    <s v="3629374-1458736316-216"/>
    <n v="0"/>
    <d v="2016-03-31T00:00:00"/>
    <x v="1465"/>
    <s v="216"/>
    <s v="SELL"/>
    <n v="3.3921694480102698"/>
    <x v="0"/>
    <x v="0"/>
    <n v="52.85"/>
    <s v="Deal"/>
    <m/>
    <s v="Original Amount [EUR 15.58], Merchant Amount [EUR 15.58], Customer Amount [TRY 52.85], Status [APPROVED], Operation [3DAUTH], UUID [3629374-1458736316-216] [23/03/2016 at 12:31:00]"/>
  </r>
  <r>
    <s v="3629335-1458736278-154"/>
    <s v="Spot"/>
    <s v="3629335-1458736278-154"/>
    <n v="0"/>
    <d v="2016-03-31T00:00:00"/>
    <x v="1466"/>
    <s v="154"/>
    <s v="SELL"/>
    <n v="9.9546742209631738"/>
    <x v="0"/>
    <x v="1"/>
    <n v="210.84"/>
    <s v="Deal"/>
    <m/>
    <s v="Original Amount [EUR 21.18], Merchant Amount [EUR 21.18], Customer Amount [NOK 210.84], Status [APPROVED], Operation [3DAUTH], UUID [3629335-1458736278-154] [23/03/2016 at 12:31:00]"/>
  </r>
  <r>
    <s v="3629290-1458736249-161"/>
    <s v="Spot"/>
    <s v="3629290-1458736249-161"/>
    <n v="0"/>
    <d v="2016-03-31T00:00:00"/>
    <x v="1467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90-1458736249-161] [23/03/2016 at 12:30:00]"/>
  </r>
  <r>
    <s v="3629272-1458736239-161"/>
    <s v="Spot"/>
    <s v="3629272-1458736239-161"/>
    <n v="0"/>
    <d v="2016-03-31T00:00:00"/>
    <x v="1468"/>
    <s v="161"/>
    <s v="SELL"/>
    <n v="1.5506517265035447"/>
    <x v="0"/>
    <x v="5"/>
    <n v="135.62"/>
    <s v="Deal"/>
    <m/>
    <s v="Original Amount [EUR 87.46], Merchant Amount [EUR 87.46], Customer Amount [AUD 135.62], Status [APPROVED], Operation [STORED], UUID [3629272-1458736239-161] [23/03/2016 at 12:30:00]"/>
  </r>
  <r>
    <s v="3629254-1458736229-199"/>
    <s v="Spot"/>
    <s v="3629254-1458736229-199"/>
    <n v="0"/>
    <d v="2016-03-31T00:00:00"/>
    <x v="1469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9254-1458736229-199] [23/03/2016 at 12:30:00]"/>
  </r>
  <r>
    <s v="3629245-1458736221-224"/>
    <s v="Spot"/>
    <s v="3629245-1458736221-224"/>
    <n v="0"/>
    <d v="2016-03-31T00:00:00"/>
    <x v="1470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9245-1458736221-224] [23/03/2016 at 12:30:00]"/>
  </r>
  <r>
    <s v="3629308-1458736262-102"/>
    <s v="Spot"/>
    <s v="3629308-1458736262-102"/>
    <n v="0"/>
    <d v="2016-03-31T00:00:00"/>
    <x v="1471"/>
    <s v="102"/>
    <s v="SELL"/>
    <n v="3.3925875085792723"/>
    <x v="0"/>
    <x v="0"/>
    <n v="49.43"/>
    <s v="Deal"/>
    <m/>
    <s v="Original Amount [EUR 14.57], Merchant Amount [EUR 14.57], Customer Amount [TRY 49.43], Status [APPROVED], Operation [3DAUTH], UUID [3629308-1458736262-102] [23/03/2016 at 12:31:00]"/>
  </r>
  <r>
    <s v="3629260-1458736231-216"/>
    <s v="Spot"/>
    <s v="3629260-1458736231-216"/>
    <n v="0"/>
    <d v="2016-03-31T00:00:00"/>
    <x v="147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260-1458736231-216] [23/03/2016 at 12:30:00]"/>
  </r>
  <r>
    <s v="3629212-1458736192-200"/>
    <s v="Spot"/>
    <s v="3629212-1458736192-200"/>
    <n v="0"/>
    <d v="2016-03-31T00:00:00"/>
    <x v="1473"/>
    <s v="200"/>
    <s v="SELL"/>
    <n v="9.9665450121654491"/>
    <x v="0"/>
    <x v="1"/>
    <n v="327.7"/>
    <s v="Deal"/>
    <m/>
    <s v="Original Amount [EUR 32.88], Merchant Amount [EUR 32.88], Customer Amount [NOK 327.7], Status [APPROVED], Operation [DIRECT], UUID [3629212-1458736192-200] [23/03/2016 at 12:29:00]"/>
  </r>
  <r>
    <s v="3629209-1458736189-56"/>
    <s v="Spot"/>
    <s v="3629209-1458736189-56"/>
    <n v="0"/>
    <d v="2016-03-31T00:00:00"/>
    <x v="1474"/>
    <s v="56"/>
    <s v="SELL"/>
    <n v="3.3974272173324307"/>
    <x v="0"/>
    <x v="0"/>
    <n v="50.18"/>
    <s v="Deal"/>
    <m/>
    <s v="Original Amount [EUR 14.77], Merchant Amount [EUR 14.77], Customer Amount [TRY 50.18], Status [APPROVED], Operation [3DAUTH], UUID [3629209-1458736189-56] [23/03/2016 at 12:29:00]"/>
  </r>
  <r>
    <s v="3629197-1458736143-119"/>
    <s v="Spot"/>
    <s v="3629197-1458736143-119"/>
    <n v="0"/>
    <d v="2016-03-31T00:00:00"/>
    <x v="1475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197-1458736143-119] [23/03/2016 at 12:29:00]"/>
  </r>
  <r>
    <s v="3629182-1458736119-203"/>
    <s v="Spot"/>
    <s v="3629182-1458736119-203"/>
    <n v="0"/>
    <d v="2016-03-31T00:00:00"/>
    <x v="1476"/>
    <s v="203"/>
    <s v="SELL"/>
    <n v="3.3974193548387093"/>
    <x v="0"/>
    <x v="0"/>
    <n v="105.32"/>
    <s v="Deal"/>
    <m/>
    <s v="Original Amount [EUR 31], Merchant Amount [EUR 31], Customer Amount [TRY 105.32], Status [WAITING], Operation [3D], UUID [3629182-1458736119-203] [23/03/2016 at 12:28:00]"/>
  </r>
  <r>
    <s v="3629200-1458736156-216"/>
    <s v="Spot"/>
    <s v="3629200-1458736156-216"/>
    <n v="0"/>
    <d v="2016-03-31T00:00:00"/>
    <x v="1477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200-1458736156-216] [23/03/2016 at 12:29:00]"/>
  </r>
  <r>
    <s v="3629161-1458736094-101"/>
    <s v="Spot"/>
    <s v="3629161-1458736094-101"/>
    <n v="0"/>
    <d v="2016-03-31T00:00:00"/>
    <x v="1478"/>
    <s v="101"/>
    <s v="SELL"/>
    <n v="3.397261694844933"/>
    <x v="0"/>
    <x v="0"/>
    <n v="327.52999999999997"/>
    <s v="Deal"/>
    <m/>
    <s v="Original Amount [EUR 96.41], Merchant Amount [EUR 96.41], Customer Amount [TRY 327.53], Status [WAITING], Operation [3D], UUID [3629161-1458736094-101] [23/03/2016 at 12:28:00]"/>
  </r>
  <r>
    <s v="3629173-1458736110-216"/>
    <s v="Spot"/>
    <s v="3629173-1458736110-216"/>
    <n v="0"/>
    <d v="2016-03-31T00:00:00"/>
    <x v="1479"/>
    <s v="216"/>
    <s v="SELL"/>
    <n v="3.3972268583900376"/>
    <x v="0"/>
    <x v="0"/>
    <n v="264.61"/>
    <s v="Deal"/>
    <m/>
    <s v="Original Amount [EUR 77.89], Merchant Amount [EUR 77.89], Customer Amount [TRY 264.61], Status [APPROVED], Operation [3DAUTH], UUID [3629173-1458736110-216] [23/03/2016 at 12:28:00]"/>
  </r>
  <r>
    <s v="3629176-1458736118-216"/>
    <s v="Spot"/>
    <s v="3629176-1458736118-216"/>
    <n v="0"/>
    <d v="2016-03-31T00:00:00"/>
    <x v="1480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76-1458736118-216] [23/03/2016 at 12:28:00]"/>
  </r>
  <r>
    <s v="3629158-1458736091-212"/>
    <s v="Spot"/>
    <s v="3629158-1458736091-212"/>
    <n v="0"/>
    <d v="2016-03-31T00:00:00"/>
    <x v="1481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9158-1458736091-212] [23/03/2016 at 12:28:00]"/>
  </r>
  <r>
    <s v="3629164-1458736103-216"/>
    <s v="Spot"/>
    <s v="3629164-1458736103-216"/>
    <n v="0"/>
    <d v="2016-03-31T00:00:00"/>
    <x v="1482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9164-1458736103-216] [23/03/2016 at 12:28:00]"/>
  </r>
  <r>
    <s v="3629134-1458736062-82"/>
    <s v="Spot"/>
    <s v="3629134-1458736062-82"/>
    <n v="0"/>
    <d v="2016-03-31T00:00:00"/>
    <x v="1483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9134-1458736062-82] [23/03/2016 at 12:27:00]"/>
  </r>
  <r>
    <s v="3629131-1458736057-145"/>
    <s v="Spot"/>
    <s v="3629131-1458736057-145"/>
    <n v="0"/>
    <d v="2016-03-31T00:00:00"/>
    <x v="1484"/>
    <s v="145"/>
    <s v="SELL"/>
    <n v="9.9663310258023916"/>
    <x v="0"/>
    <x v="1"/>
    <n v="633.46"/>
    <s v="Deal"/>
    <m/>
    <s v="Original Amount [EUR 63.56], Merchant Amount [EUR 63.56], Customer Amount [NOK 633.46], Status [APPROVED], Operation [DIRECT], UUID [3629131-1458736057-145] [23/03/2016 at 12:27:00]"/>
  </r>
  <r>
    <s v="3629128-1458736056-200"/>
    <s v="Spot"/>
    <s v="3629128-1458736056-200"/>
    <n v="0"/>
    <d v="2016-03-31T00:00:00"/>
    <x v="1485"/>
    <s v="200"/>
    <s v="SELL"/>
    <n v="9.9662864963503655"/>
    <x v="0"/>
    <x v="1"/>
    <n v="2184.61"/>
    <s v="Deal"/>
    <m/>
    <s v="Original Amount [EUR 219.2], Merchant Amount [EUR 219.2], Customer Amount [NOK 2184.61], Status [APPROVED], Operation [STORED], UUID [3629128-1458736056-200] [23/03/2016 at 12:27:00]"/>
  </r>
  <r>
    <s v="3629110-1458736040-119"/>
    <s v="Spot"/>
    <s v="3629110-1458736040-119"/>
    <n v="0"/>
    <d v="2016-03-31T00:00:00"/>
    <x v="1486"/>
    <s v="119"/>
    <s v="SELL"/>
    <n v="9.9670000000000005"/>
    <x v="0"/>
    <x v="1"/>
    <n v="99.67"/>
    <s v="Deal"/>
    <m/>
    <s v="Original Amount [EUR 10], Merchant Amount [EUR 10], Customer Amount [NOK 99.67], Status [APPROVED], Operation [DIRECT], UUID [3629110-1458736040-119] [23/03/2016 at 12:27:00]"/>
  </r>
  <r>
    <s v="3629122-1458736053-216"/>
    <s v="Spot"/>
    <s v="3629122-1458736053-216"/>
    <n v="0"/>
    <d v="2016-03-31T00:00:00"/>
    <x v="1487"/>
    <s v="216"/>
    <s v="SELL"/>
    <n v="3.397265549778548"/>
    <x v="0"/>
    <x v="0"/>
    <n v="529.26"/>
    <s v="Deal"/>
    <m/>
    <s v="Original Amount [EUR 155.79], Merchant Amount [EUR 155.79], Customer Amount [TRY 529.26], Status [APPROVED], Operation [3DAUTH], UUID [3629122-1458736053-216] [23/03/2016 at 12:27:00]"/>
  </r>
  <r>
    <s v="3629095-1458736017-199"/>
    <s v="Spot"/>
    <s v="3629095-1458736017-199"/>
    <n v="0"/>
    <d v="2016-03-31T00:00:00"/>
    <x v="1488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9095-1458736017-199] [23/03/2016 at 12:26:00]"/>
  </r>
  <r>
    <s v="3629089-1458736001-261"/>
    <s v="Spot"/>
    <s v="3629089-1458736001-261"/>
    <n v="0"/>
    <d v="2016-03-31T00:00:00"/>
    <x v="1489"/>
    <s v="261"/>
    <s v="SELL"/>
    <n v="9.9663551401869164"/>
    <x v="0"/>
    <x v="1"/>
    <n v="106.64"/>
    <s v="Deal"/>
    <m/>
    <s v="Original Amount [EUR 10.7], Merchant Amount [EUR 10.7], Customer Amount [NOK 106.64], Status [APPROVED], Operation [DIRECT], UUID [3629089-1458736001-261] [23/03/2016 at 12:26:00]"/>
  </r>
  <r>
    <s v="3629077-1458735981-82"/>
    <s v="Spot"/>
    <s v="3629077-1458735981-82"/>
    <n v="0"/>
    <d v="2016-03-31T00:00:00"/>
    <x v="1490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7-1458735981-82] [23/03/2016 at 12:26:00]"/>
  </r>
  <r>
    <s v="3629074-1458735981-82"/>
    <s v="Spot"/>
    <s v="3629074-1458735981-82"/>
    <n v="0"/>
    <d v="2016-03-31T00:00:00"/>
    <x v="149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9074-1458735981-82] [23/03/2016 at 12:26:00]"/>
  </r>
  <r>
    <s v="3629086-1458735995-216"/>
    <s v="Spot"/>
    <s v="3629086-1458735995-216"/>
    <n v="0"/>
    <d v="2016-03-31T00:00:00"/>
    <x v="1492"/>
    <s v="216"/>
    <s v="SELL"/>
    <n v="3.3973162193698947"/>
    <x v="0"/>
    <x v="0"/>
    <n v="58.23"/>
    <s v="Deal"/>
    <m/>
    <s v="Original Amount [EUR 17.14], Merchant Amount [EUR 17.14], Customer Amount [TRY 58.23], Status [APPROVED], Operation [3DAUTH], UUID [3629086-1458735995-216] [23/03/2016 at 12:26:00]"/>
  </r>
  <r>
    <s v="3629062-1458735960-216"/>
    <s v="Spot"/>
    <s v="3629062-1458735960-216"/>
    <n v="0"/>
    <d v="2016-03-31T00:00:00"/>
    <x v="1493"/>
    <s v="216"/>
    <s v="SELL"/>
    <n v="3.3978001833180569"/>
    <x v="0"/>
    <x v="0"/>
    <n v="37.07"/>
    <s v="Deal"/>
    <m/>
    <s v="Original Amount [EUR 10.91], Merchant Amount [EUR 10.91], Customer Amount [TRY 37.07], Status [WAITING], Operation [3D], UUID [3629062-1458735960-216] [23/03/2016 at 12:26:00]"/>
  </r>
  <r>
    <s v="3629059-1458735957-224"/>
    <s v="Spot"/>
    <s v="3629059-1458735957-224"/>
    <n v="0"/>
    <d v="2016-03-31T00:00:00"/>
    <x v="1494"/>
    <s v="224"/>
    <s v="SELL"/>
    <n v="133.03564247852313"/>
    <x v="0"/>
    <x v="3"/>
    <n v="7278.38"/>
    <s v="Deal"/>
    <m/>
    <s v="Original Amount [EUR 54.71], Merchant Amount [EUR 54.71], Customer Amount [JPY 7278.38], Status [APPROVED], Operation [DIRECT], UUID [3629059-1458735957-224] [23/03/2016 at 12:25:00]"/>
  </r>
  <r>
    <s v="3629050-1458735939-145"/>
    <s v="Spot"/>
    <s v="3629050-1458735939-145"/>
    <n v="0"/>
    <d v="2016-03-31T00:00:00"/>
    <x v="1495"/>
    <s v="145"/>
    <s v="SELL"/>
    <n v="9.9664936290703157"/>
    <x v="0"/>
    <x v="1"/>
    <n v="422.38"/>
    <s v="Deal"/>
    <m/>
    <s v="Original Amount [EUR 42.38], Merchant Amount [EUR 42.38], Customer Amount [NOK 422.38], Status [APPROVED], Operation [DIRECT], UUID [3629050-1458735939-145] [23/03/2016 at 12:25:00]"/>
  </r>
  <r>
    <s v="3629065-1458735971-203"/>
    <s v="Spot"/>
    <s v="3629065-1458735971-203"/>
    <n v="0"/>
    <d v="2016-03-31T00:00:00"/>
    <x v="1496"/>
    <s v="203"/>
    <s v="SELL"/>
    <n v="3.3976539589442813"/>
    <x v="0"/>
    <x v="0"/>
    <n v="57.93"/>
    <s v="Deal"/>
    <m/>
    <s v="Original Amount [EUR 17.05], Merchant Amount [EUR 17.05], Customer Amount [TRY 57.93], Status [APPROVED], Operation [3DAUTH], UUID [3629065-1458735971-203] [23/03/2016 at 12:26:00]"/>
  </r>
  <r>
    <s v="3629038-1458735921-119"/>
    <s v="Spot"/>
    <s v="3629038-1458735921-119"/>
    <n v="0"/>
    <d v="2016-03-31T00:00:00"/>
    <x v="1497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9038-1458735921-119] [23/03/2016 at 12:25:00]"/>
  </r>
  <r>
    <s v="3629032-1458735912-119"/>
    <s v="Spot"/>
    <s v="3629032-1458735912-119"/>
    <n v="0"/>
    <d v="2016-03-31T00:00:00"/>
    <x v="149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9032-1458735912-119] [23/03/2016 at 12:25:00]"/>
  </r>
  <r>
    <s v="3629029-1458735907-145"/>
    <s v="Spot"/>
    <s v="3629029-1458735907-145"/>
    <n v="0"/>
    <d v="2016-03-31T00:00:00"/>
    <x v="1499"/>
    <s v="145"/>
    <s v="SELL"/>
    <n v="9.9663336741917732"/>
    <x v="0"/>
    <x v="1"/>
    <n v="1267.02"/>
    <s v="Deal"/>
    <m/>
    <s v="Original Amount [EUR 127.13], Merchant Amount [EUR 127.13], Customer Amount [NOK 1267.02], Status [APPROVED], Operation [DIRECT], UUID [3629029-1458735907-145] [23/03/2016 at 12:25:00]"/>
  </r>
  <r>
    <s v="3629047-1458735933-216"/>
    <s v="Spot"/>
    <s v="3629047-1458735933-216"/>
    <n v="0"/>
    <d v="2016-03-31T00:00:00"/>
    <x v="1500"/>
    <s v="216"/>
    <s v="SELL"/>
    <n v="3.3972712680577843"/>
    <x v="0"/>
    <x v="0"/>
    <n v="42.33"/>
    <s v="Deal"/>
    <m/>
    <s v="Original Amount [EUR 12.46], Merchant Amount [EUR 12.46], Customer Amount [TRY 42.33], Status [APPROVED], Operation [3DAUTH], UUID [3629047-1458735933-216] [23/03/2016 at 12:25:00]"/>
  </r>
  <r>
    <s v="3629014-1458735901-224"/>
    <s v="Spot"/>
    <s v="3629014-1458735901-224"/>
    <n v="0"/>
    <d v="2016-03-31T00:00:00"/>
    <x v="1501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9014-1458735901-224] [23/03/2016 at 12:25:00]"/>
  </r>
  <r>
    <s v="3629008-1458735900-107"/>
    <s v="Spot"/>
    <s v="3629008-1458735900-107"/>
    <n v="0"/>
    <d v="2016-03-31T00:00:00"/>
    <x v="1502"/>
    <s v="107"/>
    <s v="SELL"/>
    <n v="3.3974792499231476"/>
    <x v="0"/>
    <x v="0"/>
    <n v="110.52"/>
    <s v="Deal"/>
    <m/>
    <s v="Original Amount [EUR 32.53], Merchant Amount [EUR 32.53], Customer Amount [TRY 110.52], Status [APPROVED], Operation [3DAUTH], UUID [3629008-1458735900-107] [23/03/2016 at 12:25:00]"/>
  </r>
  <r>
    <s v="3628996-1458735866-241"/>
    <s v="Spot"/>
    <s v="3628996-1458735866-241"/>
    <n v="0"/>
    <d v="2016-03-31T00:00:00"/>
    <x v="1503"/>
    <s v="241"/>
    <s v="SELL"/>
    <n v="9.7350940376150472"/>
    <x v="0"/>
    <x v="12"/>
    <n v="243.28"/>
    <s v="Deal"/>
    <m/>
    <s v="Original Amount [EUR 24.99], Merchant Amount [EUR 24.99], Customer Amount [SEK 243.28], Status [APPROVED], Operation [DIRECT], UUID [3628996-1458735866-241] [23/03/2016 at 12:24:00]"/>
  </r>
  <r>
    <s v="3628987-1458735862-224"/>
    <s v="Spot"/>
    <s v="3628987-1458735862-224"/>
    <n v="0"/>
    <d v="2016-03-31T00:00:00"/>
    <x v="1504"/>
    <s v="224"/>
    <s v="SELL"/>
    <n v="133.03550913838123"/>
    <x v="0"/>
    <x v="3"/>
    <n v="5095.26"/>
    <s v="Deal"/>
    <m/>
    <s v="Original Amount [EUR 38.3], Merchant Amount [EUR 38.3], Customer Amount [JPY 5095.26], Status [APPROVED], Operation [DIRECT], UUID [3628987-1458735862-224] [23/03/2016 at 12:24:00]"/>
  </r>
  <r>
    <s v="3628984-1458735861-238"/>
    <s v="Spot"/>
    <s v="3628984-1458735861-238"/>
    <n v="0"/>
    <d v="2016-03-31T00:00:00"/>
    <x v="15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984-1458735861-238] [23/03/2016 at 12:24:00]"/>
  </r>
  <r>
    <s v="3628981-1458735861-199"/>
    <s v="Spot"/>
    <s v="3628981-1458735861-199"/>
    <n v="0"/>
    <d v="2016-03-31T00:00:00"/>
    <x v="1506"/>
    <s v="199"/>
    <s v="SELL"/>
    <n v="9.9663107511045652"/>
    <x v="0"/>
    <x v="1"/>
    <n v="541.37"/>
    <s v="Deal"/>
    <m/>
    <s v="Original Amount [EUR 54.32], Merchant Amount [EUR 54.32], Customer Amount [NOK 541.37], Status [APPROVED], Operation [DIRECT], UUID [3628981-1458735861-199] [23/03/2016 at 12:24:00]"/>
  </r>
  <r>
    <s v="3628975-1458735855-200"/>
    <s v="Spot"/>
    <s v="3628975-1458735855-200"/>
    <n v="0"/>
    <d v="2016-03-31T00:00:00"/>
    <x v="1507"/>
    <s v="200"/>
    <s v="SELL"/>
    <n v="9.966562639322337"/>
    <x v="0"/>
    <x v="1"/>
    <n v="223.55"/>
    <s v="Deal"/>
    <m/>
    <s v="Original Amount [EUR 22.43], Merchant Amount [EUR 22.43], Customer Amount [NOK 223.55], Status [APPROVED], Operation [STORED], UUID [3628975-1458735855-200] [23/03/2016 at 12:24:00]"/>
  </r>
  <r>
    <s v="3628972-1458735849-200"/>
    <s v="Spot"/>
    <s v="3628972-1458735849-200"/>
    <n v="0"/>
    <d v="2016-03-31T00:00:00"/>
    <x v="1508"/>
    <s v="200"/>
    <s v="SELL"/>
    <n v="9.9663290446208599"/>
    <x v="0"/>
    <x v="1"/>
    <n v="1092.21"/>
    <s v="Deal"/>
    <m/>
    <s v="Original Amount [EUR 109.59], Merchant Amount [EUR 109.59], Customer Amount [NOK 1092.21], Status [APPROVED], Operation [STORED], UUID [3628972-1458735849-200] [23/03/2016 at 12:24:00]"/>
  </r>
  <r>
    <s v="3628969-1458735847-200"/>
    <s v="Spot"/>
    <s v="3628969-1458735847-200"/>
    <n v="0"/>
    <d v="2016-03-31T00:00:00"/>
    <x v="1509"/>
    <s v="200"/>
    <s v="SELL"/>
    <n v="9.9664233576642332"/>
    <x v="0"/>
    <x v="1"/>
    <n v="546.16"/>
    <s v="Deal"/>
    <m/>
    <s v="Original Amount [EUR 54.8], Merchant Amount [EUR 54.8], Customer Amount [NOK 546.16], Status [APPROVED], Operation [STORED], UUID [3628969-1458735847-200] [23/03/2016 at 12:24:00]"/>
  </r>
  <r>
    <s v="3628957-1458735827-171"/>
    <s v="Spot"/>
    <s v="3628957-1458735827-171"/>
    <n v="0"/>
    <d v="2016-03-31T00:00:00"/>
    <x v="1510"/>
    <s v="171"/>
    <s v="SELL"/>
    <n v="1.5438081253059226"/>
    <x v="0"/>
    <x v="2"/>
    <n v="31.54"/>
    <s v="Deal"/>
    <m/>
    <s v="Original Amount [EUR 20.43], Merchant Amount [EUR 20.43], Customer Amount [CAD 31.54], Status [APPROVED], Operation [DIRECT], UUID [3628957-1458735827-171] [23/03/2016 at 12:23:00]"/>
  </r>
  <r>
    <s v="3628978-1458735855-216"/>
    <s v="Spot"/>
    <s v="3628978-1458735855-216"/>
    <n v="0"/>
    <d v="2016-03-31T00:00:00"/>
    <x v="1511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978-1458735855-216] [23/03/2016 at 12:24:00]"/>
  </r>
  <r>
    <s v="3628948-1458735806-199"/>
    <s v="Spot"/>
    <s v="3628948-1458735806-199"/>
    <n v="0"/>
    <d v="2016-03-31T00:00:00"/>
    <x v="1512"/>
    <s v="199"/>
    <s v="SELL"/>
    <n v="9.9415532425940754"/>
    <x v="0"/>
    <x v="1"/>
    <n v="124.17"/>
    <s v="Deal"/>
    <m/>
    <s v="Original Amount [EUR 12.49], Merchant Amount [EUR 12.49], Customer Amount [NOK 124.17], Status [APPROVED], Operation [DIRECT], UUID [3628948-1458735806-199] [23/03/2016 at 12:23:00]"/>
  </r>
  <r>
    <s v="3628945-1458735805-199"/>
    <s v="Spot"/>
    <s v="3628945-1458735805-199"/>
    <n v="0"/>
    <d v="2016-03-31T00:00:00"/>
    <x v="1513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945-1458735805-199] [23/03/2016 at 12:23:00]"/>
  </r>
  <r>
    <s v="3628942-1458735804-126"/>
    <s v="Spot"/>
    <s v="3628942-1458735804-126"/>
    <n v="0"/>
    <d v="2016-03-31T00:00:00"/>
    <x v="1514"/>
    <s v="126"/>
    <s v="SELL"/>
    <n v="9.9411382113821141"/>
    <x v="0"/>
    <x v="1"/>
    <n v="611.38"/>
    <s v="Deal"/>
    <m/>
    <s v="Original Amount [EUR 61.5], Merchant Amount [EUR 61.5], Customer Amount [NOK 611.38], Status [APPROVED], Operation [DIRECT], UUID [3628942-1458735804-126] [23/03/2016 at 12:23:00]"/>
  </r>
  <r>
    <s v="3628936-1458735797-199"/>
    <s v="Spot"/>
    <s v="3628936-1458735797-199"/>
    <n v="0"/>
    <d v="2016-03-31T00:00:00"/>
    <x v="151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36-1458735797-199] [23/03/2016 at 12:23:00]"/>
  </r>
  <r>
    <s v="3628930-1458735792-126"/>
    <s v="Spot"/>
    <s v="3628930-1458735792-126"/>
    <n v="0"/>
    <d v="2016-03-31T00:00:00"/>
    <x v="1516"/>
    <s v="126"/>
    <s v="SELL"/>
    <n v="9.9414634146341463"/>
    <x v="0"/>
    <x v="1"/>
    <n v="203.8"/>
    <s v="Deal"/>
    <m/>
    <s v="Original Amount [EUR 20.5], Merchant Amount [EUR 20.5], Customer Amount [NOK 203.8], Status [WAITING], Operation [3D], UUID [3628930-1458735792-126] [23/03/2016 at 12:23:00]"/>
  </r>
  <r>
    <s v="3628927-1458735791-145"/>
    <s v="Spot"/>
    <s v="3628927-1458735791-145"/>
    <n v="0"/>
    <d v="2016-03-31T00:00:00"/>
    <x v="1517"/>
    <s v="145"/>
    <s v="SELL"/>
    <n v="1.5436055019022532"/>
    <x v="0"/>
    <x v="2"/>
    <n v="105.49"/>
    <s v="Deal"/>
    <m/>
    <s v="Original Amount [EUR 68.34], Merchant Amount [EUR 68.34], Customer Amount [CAD 105.49], Status [APPROVED], Operation [DIRECT], UUID [3628927-1458735791-145] [23/03/2016 at 12:23:00]"/>
  </r>
  <r>
    <s v="3628906-1458735762-199"/>
    <s v="Spot"/>
    <s v="3628906-1458735762-199"/>
    <n v="0"/>
    <d v="2016-03-31T00:00:00"/>
    <x v="1518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8906-1458735762-199] [23/03/2016 at 12:22:00]"/>
  </r>
  <r>
    <s v="3628921-1458735788-216"/>
    <s v="Spot"/>
    <s v="3628921-1458735788-216"/>
    <n v="0"/>
    <d v="2016-03-31T00:00:00"/>
    <x v="1519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921-1458735788-216] [23/03/2016 at 12:23:00]"/>
  </r>
  <r>
    <s v="3628879-1458735731-224"/>
    <s v="Spot"/>
    <s v="3628879-1458735731-224"/>
    <n v="0"/>
    <d v="2016-03-31T00:00:00"/>
    <x v="1520"/>
    <s v="224"/>
    <s v="SELL"/>
    <n v="132.83272394881172"/>
    <x v="0"/>
    <x v="3"/>
    <n v="1453.19"/>
    <s v="Deal"/>
    <m/>
    <s v="Original Amount [EUR 10.94], Merchant Amount [EUR 10.94], Customer Amount [JPY 1453.19], Status [APPROVED], Operation [DIRECT], UUID [3628879-1458735731-224] [23/03/2016 at 12:22:00]"/>
  </r>
  <r>
    <s v="3628897-1458735743-216"/>
    <s v="Spot"/>
    <s v="3628897-1458735743-216"/>
    <n v="0"/>
    <d v="2016-03-31T00:00:00"/>
    <x v="1521"/>
    <s v="216"/>
    <s v="SELL"/>
    <n v="3.3975308641975306"/>
    <x v="0"/>
    <x v="0"/>
    <n v="68.8"/>
    <s v="Deal"/>
    <m/>
    <s v="Original Amount [EUR 20.25], Merchant Amount [EUR 20.25], Customer Amount [TRY 68.8], Status [APPROVED], Operation [3DAUTH], UUID [3628897-1458735743-216] [23/03/2016 at 12:22:00]"/>
  </r>
  <r>
    <s v="3628873-1458735724-212"/>
    <s v="Spot"/>
    <s v="3628873-1458735724-212"/>
    <n v="0"/>
    <d v="2016-03-31T00:00:00"/>
    <x v="1522"/>
    <s v="212"/>
    <s v="SELL"/>
    <n v="0.83350000000000013"/>
    <x v="0"/>
    <x v="4"/>
    <n v="16.670000000000002"/>
    <s v="Deal"/>
    <m/>
    <s v="Original Amount [EUR 20], Merchant Amount [EUR 20], Customer Amount [GBP 16.67], Status [APPROVED], Operation [3DAUTH], UUID [3628873-1458735724-212] [23/03/2016 at 12:22:00]"/>
  </r>
  <r>
    <s v="3628855-1458735713-224"/>
    <s v="Spot"/>
    <s v="3628855-1458735713-224"/>
    <n v="0"/>
    <d v="2016-03-31T00:00:00"/>
    <x v="1523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8855-1458735713-224] [23/03/2016 at 12:21:00]"/>
  </r>
  <r>
    <s v="3628849-1458735712-107"/>
    <s v="Spot"/>
    <s v="3628849-1458735712-107"/>
    <n v="0"/>
    <d v="2016-03-31T00:00:00"/>
    <x v="1524"/>
    <s v="107"/>
    <s v="SELL"/>
    <n v="3.3972455347536048"/>
    <x v="0"/>
    <x v="0"/>
    <n v="315.74"/>
    <s v="Deal"/>
    <m/>
    <s v="Original Amount [EUR 92.94], Merchant Amount [EUR 92.94], Customer Amount [TRY 315.74], Status [WAITING], Operation [3D], UUID [3628849-1458735712-107] [23/03/2016 at 12:21:00]"/>
  </r>
  <r>
    <s v="3628846-1458735697-200"/>
    <s v="Spot"/>
    <s v="3628846-1458735697-200"/>
    <n v="0"/>
    <d v="2016-03-31T00:00:00"/>
    <x v="1525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8846-1458735697-200] [23/03/2016 at 12:21:00]"/>
  </r>
  <r>
    <s v="3628843-1458735697-200"/>
    <s v="Spot"/>
    <s v="3628843-1458735697-200"/>
    <n v="0"/>
    <d v="2016-03-31T00:00:00"/>
    <x v="1526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8843-1458735697-200] [23/03/2016 at 12:21:00]"/>
  </r>
  <r>
    <s v="3628831-1458735687-224"/>
    <s v="Spot"/>
    <s v="3628831-1458735687-224"/>
    <n v="0"/>
    <d v="2016-03-31T00:00:00"/>
    <x v="1527"/>
    <s v="224"/>
    <s v="SELL"/>
    <n v="132.83269336258914"/>
    <x v="0"/>
    <x v="3"/>
    <n v="2421.54"/>
    <s v="Deal"/>
    <m/>
    <s v="Original Amount [EUR 18.23], Merchant Amount [EUR 18.23], Customer Amount [JPY 2421.54], Status [APPROVED], Operation [DIRECT], UUID [3628831-1458735687-224] [23/03/2016 at 12:21:00]"/>
  </r>
  <r>
    <s v="3628822-1458735672-200"/>
    <s v="Spot"/>
    <s v="3628822-1458735672-200"/>
    <n v="0"/>
    <d v="2016-03-31T00:00:00"/>
    <x v="152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822-1458735672-200] [23/03/2016 at 12:21:00]"/>
  </r>
  <r>
    <s v="3628819-1458735671-124"/>
    <s v="Spot"/>
    <s v="3628819-1458735671-124"/>
    <n v="0"/>
    <d v="2016-03-31T00:00:00"/>
    <x v="1529"/>
    <s v="124"/>
    <s v="SELL"/>
    <n v="9.9414357682619645"/>
    <x v="0"/>
    <x v="1"/>
    <n v="157.87"/>
    <s v="Deal"/>
    <m/>
    <s v="Original Amount [EUR 15.88], Merchant Amount [EUR 15.88], Customer Amount [NOK 157.87], Status [APPROVED], Operation [DIRECT], UUID [3628819-1458735671-124] [23/03/2016 at 12:21:00]"/>
  </r>
  <r>
    <s v="3628834-1458735688-216"/>
    <s v="Spot"/>
    <s v="3628834-1458735688-216"/>
    <n v="0"/>
    <d v="2016-03-31T00:00:00"/>
    <x v="1530"/>
    <s v="216"/>
    <s v="SELL"/>
    <n v="3.3971836819217232"/>
    <x v="0"/>
    <x v="0"/>
    <n v="164.05"/>
    <s v="Deal"/>
    <m/>
    <s v="Original Amount [EUR 48.29], Merchant Amount [EUR 48.29], Customer Amount [TRY 164.05], Status [APPROVED], Operation [3DAUTH], UUID [3628834-1458735688-216] [23/03/2016 at 12:21:00]"/>
  </r>
  <r>
    <s v="3628786-1458735638-119"/>
    <s v="Spot"/>
    <s v="3628786-1458735638-119"/>
    <n v="0"/>
    <d v="2016-03-31T00:00:00"/>
    <x v="1531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786-1458735638-119] [23/03/2016 at 12:20:00]"/>
  </r>
  <r>
    <s v="3628816-1458735670-216"/>
    <s v="Spot"/>
    <s v="3628816-1458735670-216"/>
    <n v="0"/>
    <d v="2016-03-31T00:00:00"/>
    <x v="1532"/>
    <s v="216"/>
    <s v="SELL"/>
    <n v="3.3973042362002568"/>
    <x v="0"/>
    <x v="0"/>
    <n v="105.86"/>
    <s v="Deal"/>
    <m/>
    <s v="Original Amount [EUR 31.16], Merchant Amount [EUR 31.16], Customer Amount [TRY 105.86], Status [APPROVED], Operation [3DAUTH], UUID [3628816-1458735670-216] [23/03/2016 at 12:21:00]"/>
  </r>
  <r>
    <s v="3628801-1458735664-216"/>
    <s v="Spot"/>
    <s v="3628801-1458735664-216"/>
    <n v="0"/>
    <d v="2016-03-31T00:00:00"/>
    <x v="1533"/>
    <s v="216"/>
    <s v="SELL"/>
    <n v="3.3978001833180569"/>
    <x v="0"/>
    <x v="0"/>
    <n v="37.07"/>
    <s v="Deal"/>
    <m/>
    <s v="Original Amount [EUR 10.91], Merchant Amount [EUR 10.91], Customer Amount [TRY 37.07], Status [APPROVED], Operation [3DAUTH], UUID [3628801-1458735664-216] [23/03/2016 at 12:21:00]"/>
  </r>
  <r>
    <s v="3628771-1458735628-125"/>
    <s v="Spot"/>
    <s v="3628771-1458735628-125"/>
    <n v="0"/>
    <d v="2016-03-31T00:00:00"/>
    <x v="1534"/>
    <s v="125"/>
    <s v="SELL"/>
    <n v="132.83246153846156"/>
    <x v="0"/>
    <x v="3"/>
    <n v="17268.22"/>
    <s v="Deal"/>
    <m/>
    <s v="Original Amount [EUR 130], Merchant Amount [EUR 130], Customer Amount [JPY 17268.22], Status [APPROVED], Operation [DIRECT], UUID [3628771-1458735628-125] [23/03/2016 at 12:20:00]"/>
  </r>
  <r>
    <s v="3628807-1458735665-203"/>
    <s v="Spot"/>
    <s v="3628807-1458735665-203"/>
    <n v="0"/>
    <d v="2016-03-31T00:00:00"/>
    <x v="1535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8807-1458735665-203] [23/03/2016 at 12:21:00]"/>
  </r>
  <r>
    <s v="3628762-1458735620-82"/>
    <s v="Spot"/>
    <s v="3628762-1458735620-82"/>
    <n v="0"/>
    <d v="2016-03-31T00:00:00"/>
    <x v="1536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62-1458735620-82] [23/03/2016 at 12:20:00]"/>
  </r>
  <r>
    <s v="3628810-1458735665-107"/>
    <s v="Spot"/>
    <s v="3628810-1458735665-107"/>
    <n v="0"/>
    <d v="2016-03-31T00:00:00"/>
    <x v="153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810-1458735665-107] [23/03/2016 at 12:21:00]"/>
  </r>
  <r>
    <s v="3628747-1458735616-82"/>
    <s v="Spot"/>
    <s v="3628747-1458735616-82"/>
    <n v="0"/>
    <d v="2016-03-31T00:00:00"/>
    <x v="1538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8747-1458735616-82] [23/03/2016 at 12:20:00]"/>
  </r>
  <r>
    <s v="3628777-1458735631-56"/>
    <s v="Spot"/>
    <s v="3628777-1458735631-56"/>
    <n v="0"/>
    <d v="2016-03-31T00:00:00"/>
    <x v="1539"/>
    <s v="56"/>
    <s v="SELL"/>
    <n v="3.3975"/>
    <x v="0"/>
    <x v="0"/>
    <n v="27.18"/>
    <s v="Deal"/>
    <m/>
    <s v="Original Amount [EUR 8], Merchant Amount [EUR 8], Customer Amount [TRY 27.18], Status [APPROVED], Operation [3DAUTH], UUID [3628777-1458735631-56] [23/03/2016 at 12:20:00]"/>
  </r>
  <r>
    <s v="3628729-1458735588-199"/>
    <s v="Spot"/>
    <s v="3628729-1458735588-199"/>
    <n v="0"/>
    <d v="2016-03-31T00:00:00"/>
    <x v="1540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8729-1458735588-199] [23/03/2016 at 12:19:00]"/>
  </r>
  <r>
    <s v="3628744-1458735608-56"/>
    <s v="Spot"/>
    <s v="3628744-1458735608-56"/>
    <n v="0"/>
    <d v="2016-03-31T00:00:00"/>
    <x v="1541"/>
    <s v="56"/>
    <s v="SELL"/>
    <n v="3.3975"/>
    <x v="0"/>
    <x v="0"/>
    <n v="27.18"/>
    <s v="Deal"/>
    <m/>
    <s v="Original Amount [EUR 8], Merchant Amount [EUR 8], Customer Amount [TRY 27.18], Status [APPROVED], Operation [3DAUTH], UUID [3628744-1458735608-56] [23/03/2016 at 12:20:00]"/>
  </r>
  <r>
    <s v="3628711-1458735573-199"/>
    <s v="Spot"/>
    <s v="3628711-1458735573-199"/>
    <n v="0"/>
    <d v="2016-03-31T00:00:00"/>
    <x v="1542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8711-1458735573-199] [23/03/2016 at 12:19:00]"/>
  </r>
  <r>
    <s v="3628732-1458735594-216"/>
    <s v="Spot"/>
    <s v="3628732-1458735594-216"/>
    <n v="0"/>
    <d v="2016-03-31T00:00:00"/>
    <x v="1543"/>
    <s v="216"/>
    <s v="SELL"/>
    <n v="3.3973436635307137"/>
    <x v="0"/>
    <x v="0"/>
    <n v="61.39"/>
    <s v="Deal"/>
    <m/>
    <s v="Original Amount [EUR 18.07], Merchant Amount [EUR 18.07], Customer Amount [TRY 61.39], Status [APPROVED], Operation [3DAUTH], UUID [3628732-1458735594-216] [23/03/2016 at 12:19:00]"/>
  </r>
  <r>
    <s v="3628687-1458735552-238"/>
    <s v="Spot"/>
    <s v="3628687-1458735552-238"/>
    <n v="0"/>
    <d v="2016-03-31T00:00:00"/>
    <x v="154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687-1458735552-238] [23/03/2016 at 12:19:00]"/>
  </r>
  <r>
    <s v="3628678-1458735543-224"/>
    <s v="Spot"/>
    <s v="3628678-1458735543-224"/>
    <n v="0"/>
    <d v="2016-03-31T00:00:00"/>
    <x v="1545"/>
    <s v="224"/>
    <s v="SELL"/>
    <n v="132.8324562477053"/>
    <x v="0"/>
    <x v="3"/>
    <n v="10853.74"/>
    <s v="Deal"/>
    <m/>
    <s v="Original Amount [EUR 81.71], Merchant Amount [EUR 81.71], Customer Amount [JPY 10853.74], Status [APPROVED], Operation [DIRECT], UUID [3628678-1458735543-224] [23/03/2016 at 12:19:00]"/>
  </r>
  <r>
    <s v="3628696-1458735561-101"/>
    <s v="Spot"/>
    <s v="3628696-1458735561-101"/>
    <n v="0"/>
    <d v="2016-03-31T00:00:00"/>
    <x v="1546"/>
    <s v="101"/>
    <s v="SELL"/>
    <n v="3.3971843987999075"/>
    <x v="0"/>
    <x v="0"/>
    <n v="147.19999999999999"/>
    <s v="Deal"/>
    <m/>
    <s v="Original Amount [EUR 43.33], Merchant Amount [EUR 43.33], Customer Amount [TRY 147.2], Status [APPROVED], Operation [3DAUTH], UUID [3628696-1458735561-101] [23/03/2016 at 12:19:00]"/>
  </r>
  <r>
    <s v="3628693-1458735559-150"/>
    <s v="Spot"/>
    <s v="3628693-1458735559-150"/>
    <n v="0"/>
    <d v="2016-03-31T00:00:00"/>
    <x v="1547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8693-1458735559-150] [23/03/2016 at 12:19:00]"/>
  </r>
  <r>
    <s v="3628717-1458735574-203"/>
    <s v="Spot"/>
    <s v="3628717-1458735574-203"/>
    <n v="0"/>
    <d v="2016-03-31T00:00:00"/>
    <x v="1548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717-1458735574-203] [23/03/2016 at 12:19:00]"/>
  </r>
  <r>
    <s v="3628660-1458735515-126"/>
    <s v="Spot"/>
    <s v="3628660-1458735515-126"/>
    <n v="0"/>
    <d v="2016-03-31T00:00:00"/>
    <x v="154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8660-1458735515-126] [23/03/2016 at 12:18:00]"/>
  </r>
  <r>
    <s v="3628657-1458735515-224"/>
    <s v="Spot"/>
    <s v="3628657-1458735515-224"/>
    <n v="0"/>
    <d v="2016-03-31T00:00:00"/>
    <x v="1550"/>
    <s v="224"/>
    <s v="SELL"/>
    <n v="132.83257174191189"/>
    <x v="0"/>
    <x v="3"/>
    <n v="7267.27"/>
    <s v="Deal"/>
    <m/>
    <s v="Original Amount [EUR 54.71], Merchant Amount [EUR 54.71], Customer Amount [JPY 7267.27], Status [APPROVED], Operation [DIRECT], UUID [3628657-1458735515-224] [23/03/2016 at 12:18:00]"/>
  </r>
  <r>
    <s v="3628645-1458735493-216"/>
    <s v="Spot"/>
    <s v="3628645-1458735493-216"/>
    <n v="0"/>
    <d v="2016-03-31T00:00:00"/>
    <x v="1551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645-1458735493-216] [23/03/2016 at 12:18:00]"/>
  </r>
  <r>
    <s v="3628654-1458735503-61"/>
    <s v="Spot"/>
    <s v="3628654-1458735503-61"/>
    <n v="0"/>
    <d v="2016-03-31T00:00:00"/>
    <x v="1552"/>
    <s v="61"/>
    <s v="SELL"/>
    <n v="9.9415000000000013"/>
    <x v="0"/>
    <x v="1"/>
    <n v="198.83"/>
    <s v="Deal"/>
    <m/>
    <s v="Original Amount [EUR 20], Merchant Amount [EUR 20], Customer Amount [NOK 198.83], Status [APPROVED], Operation [3DAUTH], UUID [3628654-1458735503-61] [23/03/2016 at 12:18:00]"/>
  </r>
  <r>
    <s v="3628648-1458735496-216"/>
    <s v="Spot"/>
    <s v="3628648-1458735496-216"/>
    <n v="0"/>
    <d v="2016-03-31T00:00:00"/>
    <x v="1553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648-1458735496-216] [23/03/2016 at 12:18:00]"/>
  </r>
  <r>
    <s v="3628627-1458735457-126"/>
    <s v="Spot"/>
    <s v="3628627-1458735457-126"/>
    <n v="0"/>
    <d v="2016-03-31T00:00:00"/>
    <x v="1554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627-1458735457-126] [23/03/2016 at 12:17:00]"/>
  </r>
  <r>
    <s v="3628609-1458735441-119"/>
    <s v="Spot"/>
    <s v="3628609-1458735441-119"/>
    <n v="0"/>
    <d v="2016-03-31T00:00:00"/>
    <x v="155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8609-1458735441-119] [23/03/2016 at 12:17:00]"/>
  </r>
  <r>
    <s v="3628597-1458735435-119"/>
    <s v="Spot"/>
    <s v="3628597-1458735435-119"/>
    <n v="0"/>
    <d v="2016-03-31T00:00:00"/>
    <x v="155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8597-1458735435-119] [23/03/2016 at 12:17:00]"/>
  </r>
  <r>
    <s v="3628594-1458735432-145"/>
    <s v="Spot"/>
    <s v="3628594-1458735432-145"/>
    <n v="0"/>
    <d v="2016-03-31T00:00:00"/>
    <x v="1557"/>
    <s v="145"/>
    <s v="SELL"/>
    <n v="9.9411209439528019"/>
    <x v="0"/>
    <x v="1"/>
    <n v="842.51"/>
    <s v="Deal"/>
    <m/>
    <s v="Original Amount [EUR 84.75], Merchant Amount [EUR 84.75], Customer Amount [NOK 842.51], Status [APPROVED], Operation [DIRECT], UUID [3628594-1458735432-145] [23/03/2016 at 12:17:00]"/>
  </r>
  <r>
    <s v="3628588-1458735422-82"/>
    <s v="Spot"/>
    <s v="3628588-1458735422-82"/>
    <n v="0"/>
    <d v="2016-03-31T00:00:00"/>
    <x v="155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588-1458735422-82] [23/03/2016 at 12:17:00]"/>
  </r>
  <r>
    <s v="3628585-1458735422-171"/>
    <s v="Spot"/>
    <s v="3628585-1458735422-171"/>
    <n v="0"/>
    <d v="2016-03-31T00:00:00"/>
    <x v="1559"/>
    <s v="171"/>
    <s v="SELL"/>
    <n v="9.9412000000000003"/>
    <x v="0"/>
    <x v="1"/>
    <n v="497.06"/>
    <s v="Deal"/>
    <m/>
    <s v="Original Amount [EUR 50], Merchant Amount [EUR 50], Customer Amount [NOK 497.06], Status [APPROVED], Operation [DIRECT], UUID [3628585-1458735422-171] [23/03/2016 at 12:17:00]"/>
  </r>
  <r>
    <s v="3628621-1458735453-102"/>
    <s v="Spot"/>
    <s v="3628621-1458735453-102"/>
    <n v="0"/>
    <d v="2016-03-31T00:00:00"/>
    <x v="1560"/>
    <s v="102"/>
    <s v="SELL"/>
    <n v="3.3974193548387093"/>
    <x v="0"/>
    <x v="0"/>
    <n v="78.989999999999995"/>
    <s v="Deal"/>
    <m/>
    <s v="Original Amount [EUR 23.25], Merchant Amount [EUR 23.25], Customer Amount [TRY 78.99], Status [APPROVED], Operation [3DAUTH], UUID [3628621-1458735453-102] [23/03/2016 at 12:17:00]"/>
  </r>
  <r>
    <s v="3628573-1458735409-200"/>
    <s v="Spot"/>
    <s v="3628573-1458735409-200"/>
    <n v="0"/>
    <d v="2016-03-31T00:00:00"/>
    <x v="1561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8573-1458735409-200] [23/03/2016 at 12:16:00]"/>
  </r>
  <r>
    <s v="3628555-1458735375-187"/>
    <s v="Spot"/>
    <s v="3628555-1458735375-187"/>
    <n v="0"/>
    <d v="2016-03-31T00:00:00"/>
    <x v="1562"/>
    <s v="187"/>
    <s v="SELL"/>
    <n v="9.9410745233968818"/>
    <x v="0"/>
    <x v="1"/>
    <n v="1261.92"/>
    <s v="Deal"/>
    <m/>
    <s v="Original Amount [EUR 126.94], Merchant Amount [EUR 126.94], Customer Amount [NOK 1261.92], Status [APPROVED], Operation [DIRECT], UUID [3628555-1458735375-187] [23/03/2016 at 12:16:00]"/>
  </r>
  <r>
    <s v="3628552-1458735368-132"/>
    <s v="Spot"/>
    <s v="3628552-1458735368-132"/>
    <n v="0"/>
    <d v="2016-03-31T00:00:00"/>
    <x v="1563"/>
    <s v="132"/>
    <s v="SELL"/>
    <n v="9.7348749999999988"/>
    <x v="0"/>
    <x v="12"/>
    <n v="778.79"/>
    <s v="Deal"/>
    <m/>
    <s v="Original Amount [EUR 80], Merchant Amount [EUR 80], Customer Amount [SEK 778.79], Status [APPROVED], Operation [3DAUTH], UUID [3628552-1458735368-132] [23/03/2016 at 12:16:00]"/>
  </r>
  <r>
    <s v="3628537-1458735351-82"/>
    <s v="Spot"/>
    <s v="3628537-1458735351-82"/>
    <n v="0"/>
    <d v="2016-03-31T00:00:00"/>
    <x v="1564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8537-1458735351-82] [23/03/2016 at 12:15:00]"/>
  </r>
  <r>
    <s v="3628636-1458735469-102"/>
    <s v="Spot"/>
    <s v="3628636-1458735469-102"/>
    <n v="0"/>
    <d v="2016-03-31T00:00:00"/>
    <x v="1565"/>
    <s v="102"/>
    <s v="SELL"/>
    <n v="3.3975806451612902"/>
    <x v="0"/>
    <x v="0"/>
    <n v="42.13"/>
    <s v="Deal"/>
    <m/>
    <s v="Original Amount [EUR 12.4], Merchant Amount [EUR 12.4], Customer Amount [TRY 42.13], Status [APPROVED], Operation [3DAUTH], UUID [3628636-1458735469-102] [23/03/2016 at 12:17:00]"/>
  </r>
  <r>
    <s v="3628561-1458735382-119"/>
    <s v="Spot"/>
    <s v="3628561-1458735382-119"/>
    <n v="0"/>
    <d v="2016-03-31T00:00:00"/>
    <x v="1566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8561-1458735382-119] [23/03/2016 at 12:16:00]"/>
  </r>
  <r>
    <s v="3628606-1458735440-56"/>
    <s v="Spot"/>
    <s v="3628606-1458735440-56"/>
    <n v="0"/>
    <d v="2016-03-31T00:00:00"/>
    <x v="1567"/>
    <s v="56"/>
    <s v="SELL"/>
    <n v="3.3970169961845298"/>
    <x v="0"/>
    <x v="0"/>
    <n v="489.68"/>
    <s v="Deal"/>
    <m/>
    <s v="Original Amount [EUR 144.15], Merchant Amount [EUR 144.15], Customer Amount [TRY 489.68], Status [APPROVED], Operation [3DAUTH], UUID [3628606-1458735440-56] [23/03/2016 at 12:17:00]"/>
  </r>
  <r>
    <s v="3628504-1458735318-200"/>
    <s v="Spot"/>
    <s v="3628504-1458735318-200"/>
    <n v="0"/>
    <d v="2016-03-31T00:00:00"/>
    <x v="1568"/>
    <s v="200"/>
    <s v="SELL"/>
    <n v="9.941058394160585"/>
    <x v="0"/>
    <x v="1"/>
    <n v="2179.08"/>
    <s v="Deal"/>
    <m/>
    <s v="Original Amount [EUR 219.2], Merchant Amount [EUR 219.2], Customer Amount [NOK 2179.08], Status [APPROVED], Operation [STORED], UUID [3628504-1458735318-200] [23/03/2016 at 12:15:00]"/>
  </r>
  <r>
    <s v="3628498-1458735317-126"/>
    <s v="Spot"/>
    <s v="3628498-1458735317-126"/>
    <n v="0"/>
    <d v="2016-03-31T00:00:00"/>
    <x v="1569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8498-1458735317-126] [23/03/2016 at 12:15:00]"/>
  </r>
  <r>
    <s v="3628492-1458735313-187"/>
    <s v="Spot"/>
    <s v="3628492-1458735313-187"/>
    <n v="0"/>
    <d v="2016-03-31T00:00:00"/>
    <x v="1570"/>
    <s v="187"/>
    <s v="SELL"/>
    <n v="9.9410897266230567"/>
    <x v="0"/>
    <x v="1"/>
    <n v="2629.12"/>
    <s v="Deal"/>
    <m/>
    <s v="Original Amount [EUR 264.47], Merchant Amount [EUR 264.47], Customer Amount [NOK 2629.12], Status [APPROVED], Operation [DIRECT], UUID [3628492-1458735313-187] [23/03/2016 at 12:15:00]"/>
  </r>
  <r>
    <s v="3628489-1458735312-224"/>
    <s v="Spot"/>
    <s v="3628489-1458735312-224"/>
    <n v="0"/>
    <d v="2016-03-31T00:00:00"/>
    <x v="157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8489-1458735312-224] [23/03/2016 at 12:15:00]"/>
  </r>
  <r>
    <s v="3628519-1458735333-203"/>
    <s v="Spot"/>
    <s v="3628519-1458735333-203"/>
    <n v="0"/>
    <d v="2016-03-31T00:00:00"/>
    <x v="1572"/>
    <s v="203"/>
    <s v="SELL"/>
    <n v="3.3972043010752686"/>
    <x v="0"/>
    <x v="0"/>
    <n v="157.97"/>
    <s v="Deal"/>
    <m/>
    <s v="Original Amount [EUR 46.5], Merchant Amount [EUR 46.5], Customer Amount [TRY 157.97], Status [APPROVED], Operation [3DAUTH], UUID [3628519-1458735333-203] [23/03/2016 at 12:15:00]"/>
  </r>
  <r>
    <s v="3628483-1458735309-261"/>
    <s v="Spot"/>
    <s v="3628483-1458735309-261"/>
    <n v="0"/>
    <d v="2016-03-31T00:00:00"/>
    <x v="1573"/>
    <s v="261"/>
    <s v="SELL"/>
    <n v="9.9410637502336865"/>
    <x v="0"/>
    <x v="1"/>
    <n v="2126.9899999999998"/>
    <s v="Deal"/>
    <m/>
    <s v="Original Amount [EUR 213.96], Merchant Amount [EUR 213.96], Customer Amount [NOK 2126.99], Status [APPROVED], Operation [DIRECT], UUID [3628483-1458735309-261] [23/03/2016 at 12:15:00]"/>
  </r>
  <r>
    <s v="3628525-1458735335-216"/>
    <s v="Spot"/>
    <s v="3628525-1458735335-216"/>
    <n v="0"/>
    <d v="2016-03-31T00:00:00"/>
    <x v="1574"/>
    <s v="216"/>
    <s v="SELL"/>
    <n v="3.397110754414125"/>
    <x v="0"/>
    <x v="0"/>
    <n v="105.82"/>
    <s v="Deal"/>
    <m/>
    <s v="Original Amount [EUR 31.15], Merchant Amount [EUR 31.15], Customer Amount [TRY 105.82], Status [APPROVED], Operation [3DAUTH], UUID [3628525-1458735335-216] [23/03/2016 at 12:15:00]"/>
  </r>
  <r>
    <s v="3628531-1458735344-216"/>
    <s v="Spot"/>
    <s v="3628531-1458735344-216"/>
    <n v="0"/>
    <d v="2016-03-31T00:00:00"/>
    <x v="157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531-1458735344-216] [23/03/2016 at 12:15:00]"/>
  </r>
  <r>
    <s v="3628468-1458735294-199"/>
    <s v="Spot"/>
    <s v="3628468-1458735294-199"/>
    <n v="0"/>
    <d v="2016-03-31T00:00:00"/>
    <x v="1576"/>
    <s v="199"/>
    <s v="SELL"/>
    <n v="9.95456217980772"/>
    <x v="0"/>
    <x v="1"/>
    <n v="10550.94"/>
    <s v="Deal"/>
    <m/>
    <s v="Original Amount [EUR 1059.91], Merchant Amount [EUR 1059.91], Customer Amount [NOK 10550.94], Status [APPROVED], Operation [DIRECT], UUID [3628468-1458735294-199] [23/03/2016 at 12:14:00]"/>
  </r>
  <r>
    <s v="3628501-1458735318-124"/>
    <s v="Spot"/>
    <s v="3628501-1458735318-124"/>
    <n v="0"/>
    <d v="2016-03-31T00:00:00"/>
    <x v="1577"/>
    <s v="124"/>
    <s v="SELL"/>
    <n v="9.9546341463414638"/>
    <x v="0"/>
    <x v="1"/>
    <n v="1224.42"/>
    <s v="Deal"/>
    <m/>
    <s v="Original Amount [EUR 123], Merchant Amount [EUR 123], Customer Amount [NOK 1224.42], Status [APPROVED], Operation [3DAUTH], UUID [3628501-1458735318-124] [23/03/2016 at 12:15:00]"/>
  </r>
  <r>
    <s v="3628507-1458735320-56"/>
    <s v="Spot"/>
    <s v="3628507-1458735320-56"/>
    <n v="0"/>
    <d v="2016-03-31T00:00:00"/>
    <x v="1578"/>
    <s v="56"/>
    <s v="SELL"/>
    <n v="3.3966593818295348"/>
    <x v="0"/>
    <x v="0"/>
    <n v="217.59"/>
    <s v="Deal"/>
    <m/>
    <s v="Original Amount [EUR 64.06], Merchant Amount [EUR 64.06], Customer Amount [TRY 217.59], Status [APPROVED], Operation [3DAUTH], UUID [3628507-1458735320-56] [23/03/2016 at 12:15:00]"/>
  </r>
  <r>
    <s v="3628435-1458735264-119"/>
    <s v="Spot"/>
    <s v="3628435-1458735264-119"/>
    <n v="0"/>
    <d v="2016-03-31T00:00:00"/>
    <x v="1579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8435-1458735264-119] [23/03/2016 at 12:14:00]"/>
  </r>
  <r>
    <s v="3628429-1458735262-216"/>
    <s v="Spot"/>
    <s v="3628429-1458735262-216"/>
    <n v="0"/>
    <d v="2016-03-31T00:00:00"/>
    <x v="15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8429-1458735262-216] [23/03/2016 at 12:14:00]"/>
  </r>
  <r>
    <s v="3628450-1458735282-56"/>
    <s v="Spot"/>
    <s v="3628450-1458735282-56"/>
    <n v="0"/>
    <d v="2016-03-31T00:00:00"/>
    <x v="1581"/>
    <s v="56"/>
    <s v="SELL"/>
    <n v="3.3975"/>
    <x v="0"/>
    <x v="0"/>
    <n v="27.18"/>
    <s v="Deal"/>
    <m/>
    <s v="Original Amount [EUR 8], Merchant Amount [EUR 8], Customer Amount [TRY 27.18], Status [APPROVED], Operation [3DAUTH], UUID [3628450-1458735282-56] [23/03/2016 at 12:14:00]"/>
  </r>
  <r>
    <s v="3628453-1458735282-264"/>
    <s v="Spot"/>
    <s v="3628453-1458735282-264"/>
    <n v="0"/>
    <d v="2016-03-31T00:00:00"/>
    <x v="1582"/>
    <s v="264"/>
    <s v="SELL"/>
    <n v="3.3922829581993574"/>
    <x v="0"/>
    <x v="0"/>
    <n v="21.1"/>
    <s v="Deal"/>
    <m/>
    <s v="Original Amount [TRY 20], Merchant Amount [EUR 6.22], Customer Amount [TRY 21.1], Status [APPROVED], Operation [3DAUTH], UUID [3628453-1458735282-264] [23/03/2016 at 12:14:00]"/>
  </r>
  <r>
    <s v="3628402-1458735236-199"/>
    <s v="Spot"/>
    <s v="3628402-1458735236-199"/>
    <n v="0"/>
    <d v="2016-03-31T00:00:00"/>
    <x v="1583"/>
    <s v="199"/>
    <s v="SELL"/>
    <n v="9.9549010584445465"/>
    <x v="0"/>
    <x v="1"/>
    <n v="216.32"/>
    <s v="Deal"/>
    <m/>
    <s v="Original Amount [EUR 21.73], Merchant Amount [EUR 21.73], Customer Amount [NOK 216.32], Status [APPROVED], Operation [DIRECT], UUID [3628402-1458735236-199] [23/03/2016 at 12:13:00]"/>
  </r>
  <r>
    <s v="3628384-1458735221-119"/>
    <s v="Spot"/>
    <s v="3628384-1458735221-119"/>
    <n v="0"/>
    <d v="2016-03-31T00:00:00"/>
    <x v="1584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84-1458735221-119] [23/03/2016 at 12:13:00]"/>
  </r>
  <r>
    <s v="3628372-1458735204-82"/>
    <s v="Spot"/>
    <s v="3628372-1458735204-82"/>
    <n v="0"/>
    <d v="2016-03-31T00:00:00"/>
    <x v="158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372-1458735204-82] [23/03/2016 at 12:13:00]"/>
  </r>
  <r>
    <s v="3628366-1458735195-224"/>
    <s v="Spot"/>
    <s v="3628366-1458735195-224"/>
    <n v="0"/>
    <d v="2016-03-31T00:00:00"/>
    <x v="1586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8366-1458735195-224] [23/03/2016 at 12:13:00]"/>
  </r>
  <r>
    <s v="3628444-1458735274-216"/>
    <s v="Spot"/>
    <s v="3628444-1458735274-216"/>
    <n v="0"/>
    <d v="2016-03-31T00:00:00"/>
    <x v="158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8444-1458735274-216] [23/03/2016 at 12:14:00]"/>
  </r>
  <r>
    <s v="3628354-1458735176-224"/>
    <s v="Spot"/>
    <s v="3628354-1458735176-224"/>
    <n v="0"/>
    <d v="2016-03-31T00:00:00"/>
    <x v="1588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8354-1458735176-224] [23/03/2016 at 12:12:00]"/>
  </r>
  <r>
    <s v="3628381-1458735217-216"/>
    <s v="Spot"/>
    <s v="3628381-1458735217-216"/>
    <n v="0"/>
    <d v="2016-03-31T00:00:00"/>
    <x v="158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81-1458735217-216] [23/03/2016 at 12:13:00]"/>
  </r>
  <r>
    <s v="3628348-1458735175-82"/>
    <s v="Spot"/>
    <s v="3628348-1458735175-82"/>
    <n v="0"/>
    <d v="2016-03-31T00:00:00"/>
    <x v="1590"/>
    <s v="82"/>
    <s v="SELL"/>
    <n v="1.1863543788187374"/>
    <x v="0"/>
    <x v="7"/>
    <n v="34.950000000000003"/>
    <s v="Deal"/>
    <m/>
    <s v="Original Amount [USD 34.95], Merchant Amount [EUR 29.46], Customer Amount [USD 34.95], Status [APPROVED], Operation [DIRECT], UUID [3628348-1458735175-82] [23/03/2016 at 12:12:00]"/>
  </r>
  <r>
    <s v="3628375-1458735206-216"/>
    <s v="Spot"/>
    <s v="3628375-1458735206-216"/>
    <n v="0"/>
    <d v="2016-03-31T00:00:00"/>
    <x v="1591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375-1458735206-216] [23/03/2016 at 12:13:00]"/>
  </r>
  <r>
    <s v="3628336-1458735164-145"/>
    <s v="Spot"/>
    <s v="3628336-1458735164-145"/>
    <n v="0"/>
    <d v="2016-03-31T00:00:00"/>
    <x v="1592"/>
    <s v="145"/>
    <s v="SELL"/>
    <n v="9.9546742209631738"/>
    <x v="0"/>
    <x v="1"/>
    <n v="210.84"/>
    <s v="Deal"/>
    <m/>
    <s v="Original Amount [EUR 21.18], Merchant Amount [EUR 21.18], Customer Amount [NOK 210.84], Status [APPROVED], Operation [DIRECT], UUID [3628336-1458735164-145] [23/03/2016 at 12:12:00]"/>
  </r>
  <r>
    <s v="3628330-1458735159-119"/>
    <s v="Spot"/>
    <s v="3628330-1458735159-119"/>
    <n v="0"/>
    <d v="2016-03-31T00:00:00"/>
    <x v="159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8330-1458735159-119] [23/03/2016 at 12:12:00]"/>
  </r>
  <r>
    <s v="3628324-1458735159-199"/>
    <s v="Spot"/>
    <s v="3628324-1458735159-199"/>
    <n v="0"/>
    <d v="2016-03-31T00:00:00"/>
    <x v="1594"/>
    <s v="199"/>
    <s v="SELL"/>
    <n v="9.95457474226804"/>
    <x v="0"/>
    <x v="1"/>
    <n v="2162.9299999999998"/>
    <s v="Deal"/>
    <m/>
    <s v="Original Amount [EUR 217.28], Merchant Amount [EUR 217.28], Customer Amount [NOK 2162.93], Status [APPROVED], Operation [DIRECT], UUID [3628324-1458735159-199] [23/03/2016 at 12:12:00]"/>
  </r>
  <r>
    <s v="3628369-1458735196-216"/>
    <s v="Spot"/>
    <s v="3628369-1458735196-216"/>
    <n v="0"/>
    <d v="2016-03-31T00:00:00"/>
    <x v="1595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69-1458735196-216] [23/03/2016 at 12:13:00]"/>
  </r>
  <r>
    <s v="3628315-1458735143-145"/>
    <s v="Spot"/>
    <s v="3628315-1458735143-145"/>
    <n v="0"/>
    <d v="2016-03-31T00:00:00"/>
    <x v="1596"/>
    <s v="145"/>
    <s v="SELL"/>
    <n v="9.9546956111373284"/>
    <x v="0"/>
    <x v="1"/>
    <n v="421.88"/>
    <s v="Deal"/>
    <m/>
    <s v="Original Amount [EUR 42.38], Merchant Amount [EUR 42.38], Customer Amount [NOK 421.88], Status [APPROVED], Operation [DIRECT], UUID [3628315-1458735143-145] [23/03/2016 at 12:12:00]"/>
  </r>
  <r>
    <s v="3628306-1458735136-119"/>
    <s v="Spot"/>
    <s v="3628306-1458735136-119"/>
    <n v="0"/>
    <d v="2016-03-31T00:00:00"/>
    <x v="1597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8306-1458735136-119] [23/03/2016 at 12:12:00]"/>
  </r>
  <r>
    <s v="3628303-1458735136-126"/>
    <s v="Spot"/>
    <s v="3628303-1458735136-126"/>
    <n v="0"/>
    <d v="2016-03-31T00:00:00"/>
    <x v="1598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28303-1458735136-126] [23/03/2016 at 12:12:00]"/>
  </r>
  <r>
    <s v="3628294-1458735132-200"/>
    <s v="Spot"/>
    <s v="3628294-1458735132-200"/>
    <n v="0"/>
    <d v="2016-03-31T00:00:00"/>
    <x v="159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8294-1458735132-200] [23/03/2016 at 12:12:00]"/>
  </r>
  <r>
    <s v="3628288-1458735130-126"/>
    <s v="Spot"/>
    <s v="3628288-1458735130-126"/>
    <n v="0"/>
    <d v="2016-03-31T00:00:00"/>
    <x v="1600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8288-1458735130-126] [23/03/2016 at 12:12:00]"/>
  </r>
  <r>
    <s v="3628276-1458735126-102"/>
    <s v="Spot"/>
    <s v="3628276-1458735126-102"/>
    <n v="0"/>
    <d v="2016-03-31T00:00:00"/>
    <x v="1601"/>
    <s v="102"/>
    <s v="SELL"/>
    <n v="3.3967741935483868"/>
    <x v="0"/>
    <x v="0"/>
    <n v="105.3"/>
    <s v="Deal"/>
    <m/>
    <s v="Original Amount [EUR 31], Merchant Amount [EUR 31], Customer Amount [TRY 105.3], Status [WAITING], Operation [3D], UUID [3628276-1458735126-102] [23/03/2016 at 12:12:00]"/>
  </r>
  <r>
    <s v="3628321-1458735149-216"/>
    <s v="Spot"/>
    <s v="3628321-1458735149-216"/>
    <n v="0"/>
    <d v="2016-03-31T00:00:00"/>
    <x v="1602"/>
    <s v="216"/>
    <s v="SELL"/>
    <n v="3.3966292134831466"/>
    <x v="0"/>
    <x v="0"/>
    <n v="211.61"/>
    <s v="Deal"/>
    <m/>
    <s v="Original Amount [EUR 62.3], Merchant Amount [EUR 62.3], Customer Amount [TRY 211.61], Status [APPROVED], Operation [3DAUTH], UUID [3628321-1458735149-216] [23/03/2016 at 12:12:00]"/>
  </r>
  <r>
    <s v="3628285-1458735130-145"/>
    <s v="Spot"/>
    <s v="3628285-1458735130-145"/>
    <n v="0"/>
    <d v="2016-03-31T00:00:00"/>
    <x v="1603"/>
    <s v="145"/>
    <s v="SELL"/>
    <n v="1.5446123842028276"/>
    <x v="0"/>
    <x v="2"/>
    <n v="31.68"/>
    <s v="Deal"/>
    <m/>
    <s v="Original Amount [EUR 20.51], Merchant Amount [EUR 20.51], Customer Amount [CAD 31.68], Status [APPROVED], Operation [3DAUTH], UUID [3628285-1458735130-145] [23/03/2016 at 12:12:00]"/>
  </r>
  <r>
    <s v="3628297-1458735134-56"/>
    <s v="Spot"/>
    <s v="3628297-1458735134-56"/>
    <n v="0"/>
    <d v="2016-03-31T00:00:00"/>
    <x v="1604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8297-1458735134-56] [23/03/2016 at 12:12:00]"/>
  </r>
  <r>
    <s v="3628378-1458735213-107"/>
    <s v="Spot"/>
    <s v="3628378-1458735213-107"/>
    <n v="0"/>
    <d v="2016-03-31T00:00:00"/>
    <x v="1605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8378-1458735213-107] [23/03/2016 at 12:13:00]"/>
  </r>
  <r>
    <s v="3628240-1458735094-119"/>
    <s v="Spot"/>
    <s v="3628240-1458735094-119"/>
    <n v="0"/>
    <d v="2016-03-31T00:00:00"/>
    <x v="1606"/>
    <s v="119"/>
    <s v="SELL"/>
    <n v="9.9390000000000001"/>
    <x v="0"/>
    <x v="1"/>
    <n v="496.95"/>
    <s v="Deal"/>
    <m/>
    <s v="Original Amount [EUR 50], Merchant Amount [EUR 50], Customer Amount [NOK 496.95], Status [APPROVED], Operation [DIRECT], UUID [3628240-1458735094-119] [23/03/2016 at 12:11:00]"/>
  </r>
  <r>
    <s v="3628387-1458735225-216"/>
    <s v="Spot"/>
    <s v="3628387-1458735225-216"/>
    <n v="0"/>
    <d v="2016-03-31T00:00:00"/>
    <x v="160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8387-1458735225-216] [23/03/2016 at 12:13:00]"/>
  </r>
  <r>
    <s v="3628234-1458735089-224"/>
    <s v="Spot"/>
    <s v="3628234-1458735089-224"/>
    <n v="0"/>
    <d v="2016-03-31T00:00:00"/>
    <x v="1608"/>
    <s v="224"/>
    <s v="SELL"/>
    <n v="132.77704678362574"/>
    <x v="0"/>
    <x v="3"/>
    <n v="1816.39"/>
    <s v="Deal"/>
    <m/>
    <s v="Original Amount [EUR 13.68], Merchant Amount [EUR 13.68], Customer Amount [JPY 1816.39], Status [APPROVED], Operation [DIRECT], UUID [3628234-1458735089-224] [23/03/2016 at 12:11:00]"/>
  </r>
  <r>
    <s v="3628213-1458735064-224"/>
    <s v="Spot"/>
    <s v="3628213-1458735064-224"/>
    <n v="0"/>
    <d v="2016-03-31T00:00:00"/>
    <x v="1609"/>
    <s v="224"/>
    <s v="SELL"/>
    <n v="9.9388770433546547"/>
    <x v="0"/>
    <x v="1"/>
    <n v="139.84"/>
    <s v="Deal"/>
    <m/>
    <s v="Original Amount [EUR 14.07], Merchant Amount [EUR 14.07], Customer Amount [NOK 139.84], Status [APPROVED], Operation [DIRECT], UUID [3628213-1458735064-224] [23/03/2016 at 12:11:00]"/>
  </r>
  <r>
    <s v="3628219-1458735073-216"/>
    <s v="Spot"/>
    <s v="3628219-1458735073-216"/>
    <n v="0"/>
    <d v="2016-03-31T00:00:00"/>
    <x v="1610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19-1458735073-216] [23/03/2016 at 12:11:00]"/>
  </r>
  <r>
    <s v="3628192-1458735043-216"/>
    <s v="Spot"/>
    <s v="3628192-1458735043-216"/>
    <n v="0"/>
    <d v="2016-03-31T00:00:00"/>
    <x v="1611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92-1458735043-216] [23/03/2016 at 12:10:00]"/>
  </r>
  <r>
    <s v="3628249-1458735101-124"/>
    <s v="Spot"/>
    <s v="3628249-1458735101-124"/>
    <n v="0"/>
    <d v="2016-03-31T00:00:00"/>
    <x v="1612"/>
    <s v="124"/>
    <s v="SELL"/>
    <n v="9.9390934844192635"/>
    <x v="0"/>
    <x v="1"/>
    <n v="210.51"/>
    <s v="Deal"/>
    <m/>
    <s v="Original Amount [EUR 21.18], Merchant Amount [EUR 21.18], Customer Amount [NOK 210.51], Status [APPROVED], Operation [3DAUTH], UUID [3628249-1458735101-124] [23/03/2016 at 12:11:00]"/>
  </r>
  <r>
    <s v="3628168-1458735028-200"/>
    <s v="Spot"/>
    <s v="3628168-1458735028-200"/>
    <n v="0"/>
    <d v="2016-03-31T00:00:00"/>
    <x v="1613"/>
    <s v="200"/>
    <s v="SELL"/>
    <n v="9.9388686131386859"/>
    <x v="0"/>
    <x v="1"/>
    <n v="544.65"/>
    <s v="Deal"/>
    <m/>
    <s v="Original Amount [EUR 54.8], Merchant Amount [EUR 54.8], Customer Amount [NOK 544.65], Status [APPROVED], Operation [STORED], UUID [3628168-1458735028-200] [23/03/2016 at 12:10:00]"/>
  </r>
  <r>
    <s v="3628207-1458735057-216"/>
    <s v="Spot"/>
    <s v="3628207-1458735057-216"/>
    <n v="0"/>
    <d v="2016-03-31T00:00:00"/>
    <x v="1614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8207-1458735057-216] [23/03/2016 at 12:10:00]"/>
  </r>
  <r>
    <s v="3628159-1458735022-199"/>
    <s v="Spot"/>
    <s v="3628159-1458735022-199"/>
    <n v="0"/>
    <d v="2016-03-31T00:00:00"/>
    <x v="1615"/>
    <s v="199"/>
    <s v="SELL"/>
    <n v="9.9396628216503995"/>
    <x v="0"/>
    <x v="1"/>
    <n v="112.02"/>
    <s v="Deal"/>
    <m/>
    <s v="Original Amount [EUR 11.27], Merchant Amount [EUR 11.27], Customer Amount [NOK 112.02], Status [APPROVED], Operation [DIRECT], UUID [3628159-1458735022-199] [23/03/2016 at 12:10:00]"/>
  </r>
  <r>
    <s v="3628198-1458735052-107"/>
    <s v="Spot"/>
    <s v="3628198-1458735052-107"/>
    <n v="0"/>
    <d v="2016-03-31T00:00:00"/>
    <x v="1616"/>
    <s v="107"/>
    <s v="SELL"/>
    <n v="3.3965461588121366"/>
    <x v="0"/>
    <x v="0"/>
    <n v="210.45"/>
    <s v="Deal"/>
    <m/>
    <s v="Original Amount [EUR 61.96], Merchant Amount [EUR 61.96], Customer Amount [TRY 210.45], Status [APPROVED], Operation [3DAUTH], UUID [3628198-1458735052-107] [23/03/2016 at 12:10:00]"/>
  </r>
  <r>
    <s v="3628174-1458735033-126"/>
    <s v="Spot"/>
    <s v="3628174-1458735033-126"/>
    <n v="0"/>
    <d v="2016-03-31T00:00:00"/>
    <x v="1617"/>
    <s v="126"/>
    <s v="SELL"/>
    <n v="9.9397163120567384"/>
    <x v="0"/>
    <x v="1"/>
    <n v="112.12"/>
    <s v="Deal"/>
    <m/>
    <s v="Original Amount [EUR 11.28], Merchant Amount [EUR 11.28], Customer Amount [NOK 112.12], Status [APPROVED], Operation [3DAUTH], UUID [3628174-1458735033-126] [23/03/2016 at 12:10:00]"/>
  </r>
  <r>
    <s v="3628129-1458734983-216"/>
    <s v="Spot"/>
    <s v="3628129-1458734983-216"/>
    <n v="0"/>
    <d v="2016-03-31T00:00:00"/>
    <x v="1618"/>
    <s v="216"/>
    <s v="SELL"/>
    <n v="3.3964686998394864"/>
    <x v="0"/>
    <x v="0"/>
    <n v="211.6"/>
    <s v="Deal"/>
    <m/>
    <s v="Original Amount [EUR 62.3], Merchant Amount [EUR 62.3], Customer Amount [TRY 211.6], Status [WAITING], Operation [3D], UUID [3628129-1458734983-216] [23/03/2016 at 12:09:00]"/>
  </r>
  <r>
    <s v="3628126-1458734976-200"/>
    <s v="Spot"/>
    <s v="3628126-1458734976-200"/>
    <n v="0"/>
    <d v="2016-03-31T00:00:00"/>
    <x v="1619"/>
    <s v="200"/>
    <s v="SELL"/>
    <n v="9.9388663819847434"/>
    <x v="0"/>
    <x v="1"/>
    <n v="2723.15"/>
    <s v="Deal"/>
    <m/>
    <s v="Original Amount [EUR 273.99], Merchant Amount [EUR 273.99], Customer Amount [NOK 2723.15], Status [APPROVED], Operation [STORED], UUID [3628126-1458734976-200] [23/03/2016 at 12:09:00]"/>
  </r>
  <r>
    <s v="3628114-1458734964-82"/>
    <s v="Spot"/>
    <s v="3628114-1458734964-82"/>
    <n v="0"/>
    <d v="2016-03-31T00:00:00"/>
    <x v="1620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8114-1458734964-82] [23/03/2016 at 12:09:00]"/>
  </r>
  <r>
    <s v="3628135-1458734994-56"/>
    <s v="Spot"/>
    <s v="3628135-1458734994-56"/>
    <n v="0"/>
    <d v="2016-03-31T00:00:00"/>
    <x v="1621"/>
    <s v="56"/>
    <s v="SELL"/>
    <n v="3.3964881855625406"/>
    <x v="0"/>
    <x v="0"/>
    <n v="156.68"/>
    <s v="Deal"/>
    <m/>
    <s v="Original Amount [EUR 46.13], Merchant Amount [EUR 46.13], Customer Amount [TRY 156.68], Status [APPROVED], Operation [3DAUTH], UUID [3628135-1458734994-56] [23/03/2016 at 12:09:00]"/>
  </r>
  <r>
    <s v="3628189-1458735043-216"/>
    <s v="Spot"/>
    <s v="3628189-1458735043-216"/>
    <n v="0"/>
    <d v="2016-03-31T00:00:00"/>
    <x v="1622"/>
    <s v="216"/>
    <s v="SELL"/>
    <n v="3.3924213230571612"/>
    <x v="0"/>
    <x v="0"/>
    <n v="52.82"/>
    <s v="Deal"/>
    <m/>
    <s v="Original Amount [EUR 15.57], Merchant Amount [EUR 15.57], Customer Amount [TRY 52.82], Status [APPROVED], Operation [3DAUTH], UUID [3628189-1458735043-216] [23/03/2016 at 12:10:00]"/>
  </r>
  <r>
    <s v="3628096-1458734931-203"/>
    <s v="Spot"/>
    <s v="3628096-1458734931-203"/>
    <n v="0"/>
    <d v="2016-03-31T00:00:00"/>
    <x v="1623"/>
    <s v="203"/>
    <s v="SELL"/>
    <n v="3.3919354838709679"/>
    <x v="0"/>
    <x v="0"/>
    <n v="105.15"/>
    <s v="Deal"/>
    <m/>
    <s v="Original Amount [EUR 31], Merchant Amount [EUR 31], Customer Amount [TRY 105.15], Status [WAITING], Operation [3D], UUID [3628096-1458734931-203] [23/03/2016 at 12:08:00]"/>
  </r>
  <r>
    <s v="3628102-1458734939-216"/>
    <s v="Spot"/>
    <s v="3628102-1458734939-216"/>
    <n v="0"/>
    <d v="2016-03-31T00:00:00"/>
    <x v="1624"/>
    <s v="216"/>
    <s v="SELL"/>
    <n v="3.3920208152645275"/>
    <x v="0"/>
    <x v="0"/>
    <n v="39.11"/>
    <s v="Deal"/>
    <m/>
    <s v="Original Amount [EUR 11.53], Merchant Amount [EUR 11.53], Customer Amount [TRY 39.11], Status [APPROVED], Operation [3DAUTH], UUID [3628102-1458734939-216] [23/03/2016 at 12:08:00]"/>
  </r>
  <r>
    <s v="3628081-1458734906-224"/>
    <s v="Spot"/>
    <s v="3628081-1458734906-224"/>
    <n v="0"/>
    <d v="2016-03-31T00:00:00"/>
    <x v="1625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81-1458734906-224] [23/03/2016 at 12:08:00]"/>
  </r>
  <r>
    <s v="3628072-1458734902-224"/>
    <s v="Spot"/>
    <s v="3628072-1458734902-224"/>
    <n v="0"/>
    <d v="2016-03-31T00:00:00"/>
    <x v="1626"/>
    <s v="224"/>
    <s v="SELL"/>
    <n v="9.9662765629812142"/>
    <x v="0"/>
    <x v="1"/>
    <n v="647.21"/>
    <s v="Deal"/>
    <m/>
    <s v="Original Amount [EUR 64.94], Merchant Amount [EUR 64.94], Customer Amount [NOK 647.21], Status [APPROVED], Operation [DIRECT], UUID [3628072-1458734902-224] [23/03/2016 at 12:08:00]"/>
  </r>
  <r>
    <s v="3628069-1458734899-224"/>
    <s v="Spot"/>
    <s v="3628069-1458734899-224"/>
    <n v="0"/>
    <d v="2016-03-31T00:00:00"/>
    <x v="1627"/>
    <s v="224"/>
    <s v="SELL"/>
    <n v="132.99341744377398"/>
    <x v="0"/>
    <x v="3"/>
    <n v="2424.4699999999998"/>
    <s v="Deal"/>
    <m/>
    <s v="Original Amount [EUR 18.23], Merchant Amount [EUR 18.23], Customer Amount [JPY 2424.47], Status [APPROVED], Operation [DIRECT], UUID [3628069-1458734899-224] [23/03/2016 at 12:08:00]"/>
  </r>
  <r>
    <s v="3628060-1458734890-199"/>
    <s v="Spot"/>
    <s v="3628060-1458734890-199"/>
    <n v="0"/>
    <d v="2016-03-31T00:00:00"/>
    <x v="1628"/>
    <s v="199"/>
    <s v="SELL"/>
    <n v="9.9663530374309666"/>
    <x v="0"/>
    <x v="1"/>
    <n v="974.51"/>
    <s v="Deal"/>
    <m/>
    <s v="Original Amount [EUR 97.78], Merchant Amount [EUR 97.78], Customer Amount [NOK 974.51], Status [APPROVED], Operation [DIRECT], UUID [3628060-1458734890-199] [23/03/2016 at 12:08:00]"/>
  </r>
  <r>
    <s v="3628057-1458734887-187"/>
    <s v="Spot"/>
    <s v="3628057-1458734887-187"/>
    <n v="0"/>
    <d v="2016-03-31T00:00:00"/>
    <x v="1629"/>
    <s v="187"/>
    <s v="SELL"/>
    <n v="9.9663053524913856"/>
    <x v="0"/>
    <x v="1"/>
    <n v="2372.1799999999998"/>
    <s v="Deal"/>
    <m/>
    <s v="Original Amount [EUR 238.02], Merchant Amount [EUR 238.02], Customer Amount [NOK 2372.18], Status [APPROVED], Operation [DIRECT], UUID [3628057-1458734887-187] [23/03/2016 at 12:08:00]"/>
  </r>
  <r>
    <s v="3628090-1458734923-126"/>
    <s v="Spot"/>
    <s v="3628090-1458734923-126"/>
    <n v="0"/>
    <d v="2016-03-31T00:00:00"/>
    <x v="1630"/>
    <s v="126"/>
    <s v="SELL"/>
    <n v="9.9663182346109185"/>
    <x v="0"/>
    <x v="1"/>
    <n v="429.05"/>
    <s v="Deal"/>
    <m/>
    <s v="Original Amount [EUR 43.05], Merchant Amount [EUR 43.05], Customer Amount [NOK 429.05], Status [APPROVED], Operation [3DAUTH], UUID [3628090-1458734923-126] [23/03/2016 at 12:08:00]"/>
  </r>
  <r>
    <s v="3628048-1458734881-119"/>
    <s v="Spot"/>
    <s v="3628048-1458734881-119"/>
    <n v="0"/>
    <d v="2016-03-31T00:00:00"/>
    <x v="1631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8048-1458734881-119] [23/03/2016 at 12:08:00]"/>
  </r>
  <r>
    <s v="3628039-1458734874-171"/>
    <s v="Spot"/>
    <s v="3628039-1458734874-171"/>
    <n v="0"/>
    <d v="2016-03-31T00:00:00"/>
    <x v="1632"/>
    <s v="171"/>
    <s v="SELL"/>
    <n v="9.9664999999999999"/>
    <x v="0"/>
    <x v="1"/>
    <n v="199.33"/>
    <s v="Deal"/>
    <m/>
    <s v="Original Amount [EUR 20], Merchant Amount [EUR 20], Customer Amount [NOK 199.33], Status [APPROVED], Operation [DIRECT], UUID [3628039-1458734874-171] [23/03/2016 at 12:07:00]"/>
  </r>
  <r>
    <s v="3628033-1458734868-200"/>
    <s v="Spot"/>
    <s v="3628033-1458734868-200"/>
    <n v="0"/>
    <d v="2016-03-31T00:00:00"/>
    <x v="1633"/>
    <s v="200"/>
    <s v="SELL"/>
    <n v="9.9666666666666668"/>
    <x v="0"/>
    <x v="1"/>
    <n v="59.8"/>
    <s v="Deal"/>
    <m/>
    <s v="Original Amount [EUR 6], Merchant Amount [EUR 6], Customer Amount [NOK 59.8], Status [APPROVED], Operation [STORED], UUID [3628033-1458734868-200] [23/03/2016 at 12:07:00]"/>
  </r>
  <r>
    <s v="3628066-1458734897-216"/>
    <s v="Spot"/>
    <s v="3628066-1458734897-216"/>
    <n v="0"/>
    <d v="2016-03-31T00:00:00"/>
    <x v="1634"/>
    <s v="216"/>
    <s v="SELL"/>
    <n v="3.3919743178170143"/>
    <x v="0"/>
    <x v="0"/>
    <n v="105.66"/>
    <s v="Deal"/>
    <m/>
    <s v="Original Amount [EUR 31.15], Merchant Amount [EUR 31.15], Customer Amount [TRY 105.66], Status [APPROVED], Operation [3DAUTH], UUID [3628066-1458734897-216] [23/03/2016 at 12:08:00]"/>
  </r>
  <r>
    <s v="3628012-1458734854-238"/>
    <s v="Spot"/>
    <s v="3628012-1458734854-238"/>
    <n v="0"/>
    <d v="2016-03-31T00:00:00"/>
    <x v="163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8012-1458734854-238] [23/03/2016 at 12:07:00]"/>
  </r>
  <r>
    <s v="3628000-1458734845-261"/>
    <s v="Spot"/>
    <s v="3628000-1458734845-261"/>
    <n v="0"/>
    <d v="2016-03-31T00:00:00"/>
    <x v="1636"/>
    <s v="261"/>
    <s v="SELL"/>
    <n v="9.9663472774012618"/>
    <x v="0"/>
    <x v="1"/>
    <n v="426.46"/>
    <s v="Deal"/>
    <m/>
    <s v="Original Amount [EUR 42.79], Merchant Amount [EUR 42.79], Customer Amount [NOK 426.46], Status [APPROVED], Operation [DIRECT], UUID [3628000-1458734845-261] [23/03/2016 at 12:07:00]"/>
  </r>
  <r>
    <s v="3628036-1458734871-216"/>
    <s v="Spot"/>
    <s v="3628036-1458734871-216"/>
    <n v="0"/>
    <d v="2016-03-31T00:00:00"/>
    <x v="1637"/>
    <s v="216"/>
    <s v="SELL"/>
    <n v="3.3926605504587153"/>
    <x v="0"/>
    <x v="0"/>
    <n v="36.979999999999997"/>
    <s v="Deal"/>
    <m/>
    <s v="Original Amount [EUR 10.9], Merchant Amount [EUR 10.9], Customer Amount [TRY 36.98], Status [APPROVED], Operation [3DAUTH], UUID [3628036-1458734871-216] [23/03/2016 at 12:07:00]"/>
  </r>
  <r>
    <s v="3628003-1458734850-216"/>
    <s v="Spot"/>
    <s v="3628003-1458734850-216"/>
    <n v="0"/>
    <d v="2016-03-31T00:00:00"/>
    <x v="1638"/>
    <s v="216"/>
    <s v="SELL"/>
    <n v="3.3919352767432898"/>
    <x v="0"/>
    <x v="0"/>
    <n v="528.26"/>
    <s v="Deal"/>
    <m/>
    <s v="Original Amount [EUR 155.74], Merchant Amount [EUR 155.74], Customer Amount [TRY 528.26], Status [APPROVED], Operation [3DAUTH], UUID [3628003-1458734850-216] [23/03/2016 at 12:07:00]"/>
  </r>
  <r>
    <s v="3627967-1458734810-119"/>
    <s v="Spot"/>
    <s v="3627967-1458734810-119"/>
    <n v="0"/>
    <d v="2016-03-31T00:00:00"/>
    <x v="1639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7967-1458734810-119] [23/03/2016 at 12:06:00]"/>
  </r>
  <r>
    <s v="3627940-1458734789-107"/>
    <s v="Spot"/>
    <s v="3627940-1458734789-107"/>
    <n v="0"/>
    <d v="2016-03-31T00:00:00"/>
    <x v="1640"/>
    <s v="107"/>
    <s v="SELL"/>
    <n v="3.3920271142672691"/>
    <x v="0"/>
    <x v="0"/>
    <n v="210.17"/>
    <s v="Deal"/>
    <m/>
    <s v="Original Amount [EUR 61.96], Merchant Amount [EUR 61.96], Customer Amount [TRY 210.17], Status [WAITING], Operation [3D], UUID [3627940-1458734789-107] [23/03/2016 at 12:06:00]"/>
  </r>
  <r>
    <s v="3627928-1458734779-260"/>
    <s v="Spot"/>
    <s v="3627928-1458734779-260"/>
    <n v="0"/>
    <d v="2016-03-31T00:00:00"/>
    <x v="1641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928-1458734779-260] [23/03/2016 at 12:06:00]"/>
  </r>
  <r>
    <s v="3627988-1458734827-203"/>
    <s v="Spot"/>
    <s v="3627988-1458734827-203"/>
    <n v="0"/>
    <d v="2016-03-31T00:00:00"/>
    <x v="1642"/>
    <s v="203"/>
    <s v="SELL"/>
    <n v="3.3919354838709679"/>
    <x v="0"/>
    <x v="0"/>
    <n v="105.15"/>
    <s v="Deal"/>
    <m/>
    <s v="Original Amount [EUR 31], Merchant Amount [EUR 31], Customer Amount [TRY 105.15], Status [APPROVED], Operation [3DAUTH], UUID [3627988-1458734827-203] [23/03/2016 at 12:07:00]"/>
  </r>
  <r>
    <s v="3627916-1458734773-224"/>
    <s v="Spot"/>
    <s v="3627916-1458734773-224"/>
    <n v="0"/>
    <d v="2016-03-31T00:00:00"/>
    <x v="1643"/>
    <s v="224"/>
    <s v="SELL"/>
    <n v="132.99342015078821"/>
    <x v="0"/>
    <x v="3"/>
    <n v="9701.8700000000008"/>
    <s v="Deal"/>
    <m/>
    <s v="Original Amount [EUR 72.95], Merchant Amount [EUR 72.95], Customer Amount [JPY 9701.87], Status [APPROVED], Operation [DIRECT], UUID [3627916-1458734773-224] [23/03/2016 at 12:06:00]"/>
  </r>
  <r>
    <s v="3627901-1458734762-145"/>
    <s v="Spot"/>
    <s v="3627901-1458734762-145"/>
    <n v="0"/>
    <d v="2016-03-31T00:00:00"/>
    <x v="1644"/>
    <s v="145"/>
    <s v="SELL"/>
    <n v="1.5434146341463415"/>
    <x v="0"/>
    <x v="2"/>
    <n v="15.82"/>
    <s v="Deal"/>
    <m/>
    <s v="Original Amount [EUR 10.25], Merchant Amount [EUR 10.25], Customer Amount [CAD 15.82], Status [APPROVED], Operation [DIRECT], UUID [3627901-1458734762-145] [23/03/2016 at 12:06:00]"/>
  </r>
  <r>
    <s v="3627934-1458734783-56"/>
    <s v="Spot"/>
    <s v="3627934-1458734783-56"/>
    <n v="0"/>
    <d v="2016-03-31T00:00:00"/>
    <x v="1645"/>
    <s v="56"/>
    <s v="SELL"/>
    <n v="3.3966213734851265"/>
    <x v="0"/>
    <x v="0"/>
    <n v="92.49"/>
    <s v="Deal"/>
    <m/>
    <s v="Original Amount [EUR 27.23], Merchant Amount [EUR 27.23], Customer Amount [TRY 92.49], Status [APPROVED], Operation [3DAUTH], UUID [3627934-1458734783-56] [23/03/2016 at 12:06:00]"/>
  </r>
  <r>
    <s v="3627892-1458734760-224"/>
    <s v="Spot"/>
    <s v="3627892-1458734760-224"/>
    <n v="0"/>
    <d v="2016-03-31T00:00:00"/>
    <x v="1646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7892-1458734760-224] [23/03/2016 at 12:06:00]"/>
  </r>
  <r>
    <s v="3627946-1458734792-216"/>
    <s v="Spot"/>
    <s v="3627946-1458734792-216"/>
    <n v="0"/>
    <d v="2016-03-31T00:00:00"/>
    <x v="1647"/>
    <s v="216"/>
    <s v="SELL"/>
    <n v="3.396576319543509"/>
    <x v="0"/>
    <x v="0"/>
    <n v="47.62"/>
    <s v="Deal"/>
    <m/>
    <s v="Original Amount [EUR 14.02], Merchant Amount [EUR 14.02], Customer Amount [TRY 47.62], Status [APPROVED], Operation [3DAUTH], UUID [3627946-1458734792-216] [23/03/2016 at 12:06:00]"/>
  </r>
  <r>
    <s v="3627883-1458734753-224"/>
    <s v="Spot"/>
    <s v="3627883-1458734753-224"/>
    <n v="0"/>
    <d v="2016-03-31T00:00:00"/>
    <x v="1648"/>
    <s v="224"/>
    <s v="SELL"/>
    <n v="9.9664305512781031"/>
    <x v="0"/>
    <x v="1"/>
    <n v="323.61"/>
    <s v="Deal"/>
    <m/>
    <s v="Original Amount [EUR 32.47], Merchant Amount [EUR 32.47], Customer Amount [NOK 323.61], Status [APPROVED], Operation [DIRECT], UUID [3627883-1458734753-224] [23/03/2016 at 12:05:00]"/>
  </r>
  <r>
    <s v="3627880-1458734752-199"/>
    <s v="Spot"/>
    <s v="3627880-1458734752-199"/>
    <n v="0"/>
    <d v="2016-03-31T00:00:00"/>
    <x v="1649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7880-1458734752-199] [23/03/2016 at 12:05:00]"/>
  </r>
  <r>
    <s v="3627904-1458734764-132"/>
    <s v="Spot"/>
    <s v="3627904-1458734764-132"/>
    <n v="0"/>
    <d v="2016-03-31T00:00:00"/>
    <x v="1650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904-1458734764-132] [23/03/2016 at 12:06:00]"/>
  </r>
  <r>
    <s v="3627913-1458734772-216"/>
    <s v="Spot"/>
    <s v="3627913-1458734772-216"/>
    <n v="0"/>
    <d v="2016-03-31T00:00:00"/>
    <x v="1651"/>
    <s v="216"/>
    <s v="SELL"/>
    <n v="3.3965757089352597"/>
    <x v="0"/>
    <x v="0"/>
    <n v="317.41000000000003"/>
    <s v="Deal"/>
    <m/>
    <s v="Original Amount [EUR 93.45], Merchant Amount [EUR 93.45], Customer Amount [TRY 317.41], Status [APPROVED], Operation [3DAUTH], UUID [3627913-1458734772-216] [23/03/2016 at 12:06:00]"/>
  </r>
  <r>
    <s v="3627910-1458734770-196"/>
    <s v="Spot"/>
    <s v="3627910-1458734770-196"/>
    <n v="0"/>
    <d v="2016-03-31T00:00:00"/>
    <x v="1652"/>
    <s v="196"/>
    <s v="SELL"/>
    <n v="9.9668674698795172"/>
    <x v="0"/>
    <x v="1"/>
    <n v="99.27"/>
    <s v="Deal"/>
    <m/>
    <s v="Original Amount [EUR 9.96], Merchant Amount [EUR 9.96], Customer Amount [NOK 99.27], Status [APPROVED], Operation [3DAUTH], UUID [3627910-1458734770-196] [23/03/2016 at 12:06:00]"/>
  </r>
  <r>
    <s v="3627907-1458734765-107"/>
    <s v="Spot"/>
    <s v="3627907-1458734765-107"/>
    <n v="0"/>
    <d v="2016-03-31T00:00:00"/>
    <x v="1653"/>
    <s v="107"/>
    <s v="SELL"/>
    <n v="3.3966212944531127"/>
    <x v="0"/>
    <x v="0"/>
    <n v="631.33000000000004"/>
    <s v="Deal"/>
    <m/>
    <s v="Original Amount [EUR 185.87], Merchant Amount [EUR 185.87], Customer Amount [TRY 631.33], Status [APPROVED], Operation [3DAUTH], UUID [3627907-1458734765-107] [23/03/2016 at 12:06:00]"/>
  </r>
  <r>
    <s v="3627886-1458734756-203"/>
    <s v="Spot"/>
    <s v="3627886-1458734756-203"/>
    <n v="0"/>
    <d v="2016-03-31T00:00:00"/>
    <x v="1654"/>
    <s v="203"/>
    <s v="SELL"/>
    <n v="3.3967741935483868"/>
    <x v="0"/>
    <x v="0"/>
    <n v="126.36"/>
    <s v="Deal"/>
    <m/>
    <s v="Original Amount [EUR 37.2], Merchant Amount [EUR 37.2], Customer Amount [TRY 126.36], Status [APPROVED], Operation [3DAUTH], UUID [3627886-1458734756-203] [23/03/2016 at 12:05:00]"/>
  </r>
  <r>
    <s v="3627847-1458734724-199"/>
    <s v="Spot"/>
    <s v="3627847-1458734724-199"/>
    <n v="0"/>
    <d v="2016-03-31T00:00:00"/>
    <x v="1655"/>
    <s v="199"/>
    <s v="SELL"/>
    <n v="9.9664058904739985"/>
    <x v="0"/>
    <x v="1"/>
    <n v="433.14"/>
    <s v="Deal"/>
    <m/>
    <s v="Original Amount [EUR 43.46], Merchant Amount [EUR 43.46], Customer Amount [NOK 433.14], Status [APPROVED], Operation [DIRECT], UUID [3627847-1458734724-199] [23/03/2016 at 12:05:00]"/>
  </r>
  <r>
    <s v="3627850-1458734734-101"/>
    <s v="Spot"/>
    <s v="3627850-1458734734-101"/>
    <n v="0"/>
    <d v="2016-03-31T00:00:00"/>
    <x v="1656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850-1458734734-101] [23/03/2016 at 12:05:00]"/>
  </r>
  <r>
    <s v="3627838-1458734710-56"/>
    <s v="Spot"/>
    <s v="3627838-1458734710-56"/>
    <n v="0"/>
    <d v="2016-03-31T00:00:00"/>
    <x v="1657"/>
    <s v="56"/>
    <s v="SELL"/>
    <n v="3.3967657013915002"/>
    <x v="0"/>
    <x v="0"/>
    <n v="90.32"/>
    <s v="Deal"/>
    <m/>
    <s v="Original Amount [EUR 26.59], Merchant Amount [EUR 26.59], Customer Amount [TRY 90.32], Status [WAITING], Operation [3D], UUID [3627838-1458734710-56] [23/03/2016 at 12:05:00]"/>
  </r>
  <r>
    <s v="3627829-1458734694-224"/>
    <s v="Spot"/>
    <s v="3627829-1458734694-224"/>
    <n v="0"/>
    <d v="2016-03-31T00:00:00"/>
    <x v="1658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829-1458734694-224] [23/03/2016 at 12:04:00]"/>
  </r>
  <r>
    <s v="3627823-1458734691-200"/>
    <s v="Spot"/>
    <s v="3627823-1458734691-200"/>
    <n v="0"/>
    <d v="2016-03-31T00:00:00"/>
    <x v="1659"/>
    <s v="200"/>
    <s v="SELL"/>
    <n v="9.9663422546634237"/>
    <x v="0"/>
    <x v="1"/>
    <n v="983.08"/>
    <s v="Deal"/>
    <m/>
    <s v="Original Amount [EUR 98.64], Merchant Amount [EUR 98.64], Customer Amount [NOK 983.08], Status [APPROVED], Operation [STORED], UUID [3627823-1458734691-200] [23/03/2016 at 12:04:00]"/>
  </r>
  <r>
    <s v="3627811-1458734671-199"/>
    <s v="Spot"/>
    <s v="3627811-1458734671-199"/>
    <n v="0"/>
    <d v="2016-03-31T00:00:00"/>
    <x v="1660"/>
    <s v="199"/>
    <s v="SELL"/>
    <n v="9.9665505226480846"/>
    <x v="0"/>
    <x v="1"/>
    <n v="143.02000000000001"/>
    <s v="Deal"/>
    <m/>
    <s v="Original Amount [EUR 14.35], Merchant Amount [EUR 14.35], Customer Amount [NOK 143.02], Status [APPROVED], Operation [DIRECT], UUID [3627811-1458734671-199] [23/03/2016 at 12:04:00]"/>
  </r>
  <r>
    <s v="3627796-1458734651-199"/>
    <s v="Spot"/>
    <s v="3627796-1458734651-199"/>
    <n v="0"/>
    <d v="2016-03-31T00:00:00"/>
    <x v="1661"/>
    <s v="199"/>
    <s v="SELL"/>
    <n v="9.9666812801402909"/>
    <x v="0"/>
    <x v="1"/>
    <n v="227.34"/>
    <s v="Deal"/>
    <m/>
    <s v="Original Amount [EUR 22.81], Merchant Amount [EUR 22.81], Customer Amount [NOK 227.34], Status [APPROVED], Operation [DIRECT], UUID [3627796-1458734651-199] [23/03/2016 at 12:04:00]"/>
  </r>
  <r>
    <s v="3627799-1458734660-132"/>
    <s v="Spot"/>
    <s v="3627799-1458734660-132"/>
    <n v="0"/>
    <d v="2016-03-31T00:00:00"/>
    <x v="1662"/>
    <s v="132"/>
    <s v="SELL"/>
    <n v="9.7372499999999995"/>
    <x v="0"/>
    <x v="12"/>
    <n v="778.98"/>
    <s v="Deal"/>
    <m/>
    <s v="Original Amount [EUR 80], Merchant Amount [EUR 80], Customer Amount [SEK 778.98], Status [APPROVED], Operation [3DAUTH], UUID [3627799-1458734660-132] [23/03/2016 at 12:04:00]"/>
  </r>
  <r>
    <s v="3627784-1458734638-261"/>
    <s v="Spot"/>
    <s v="3627784-1458734638-261"/>
    <n v="0"/>
    <d v="2016-03-31T00:00:00"/>
    <x v="1663"/>
    <s v="261"/>
    <s v="SELL"/>
    <n v="9.9663551401869164"/>
    <x v="0"/>
    <x v="1"/>
    <n v="213.28"/>
    <s v="Deal"/>
    <m/>
    <s v="Original Amount [EUR 21.4], Merchant Amount [EUR 21.4], Customer Amount [NOK 213.28], Status [APPROVED], Operation [DIRECT], UUID [3627784-1458734638-261] [23/03/2016 at 12:03:00]"/>
  </r>
  <r>
    <s v="3627775-1458734626-203"/>
    <s v="Spot"/>
    <s v="3627775-1458734626-203"/>
    <n v="0"/>
    <d v="2016-03-31T00:00:00"/>
    <x v="1664"/>
    <s v="203"/>
    <s v="SELL"/>
    <n v="3.3967741935483868"/>
    <x v="0"/>
    <x v="0"/>
    <n v="105.3"/>
    <s v="Deal"/>
    <m/>
    <s v="Original Amount [EUR 31], Merchant Amount [EUR 31], Customer Amount [TRY 105.3], Status [WAITING], Operation [3D], UUID [3627775-1458734626-203] [23/03/2016 at 12:03:00]"/>
  </r>
  <r>
    <s v="3627793-1458734651-101"/>
    <s v="Spot"/>
    <s v="3627793-1458734651-101"/>
    <n v="0"/>
    <d v="2016-03-31T00:00:00"/>
    <x v="1665"/>
    <s v="101"/>
    <s v="SELL"/>
    <n v="3.3966593818295348"/>
    <x v="0"/>
    <x v="0"/>
    <n v="217.59"/>
    <s v="Deal"/>
    <m/>
    <s v="Original Amount [EUR 64.06], Merchant Amount [EUR 64.06], Customer Amount [TRY 217.59], Status [APPROVED], Operation [3DAUTH], UUID [3627793-1458734651-101] [23/03/2016 at 12:04:00]"/>
  </r>
  <r>
    <s v="3627805-1458734662-203"/>
    <s v="Spot"/>
    <s v="3627805-1458734662-203"/>
    <n v="0"/>
    <d v="2016-03-31T00:00:00"/>
    <x v="1666"/>
    <s v="203"/>
    <s v="SELL"/>
    <n v="3.3967741935483868"/>
    <x v="0"/>
    <x v="0"/>
    <n v="52.65"/>
    <s v="Deal"/>
    <m/>
    <s v="Original Amount [EUR 15.5], Merchant Amount [EUR 15.5], Customer Amount [TRY 52.65], Status [APPROVED], Operation [3DAUTH], UUID [3627805-1458734662-203] [23/03/2016 at 12:04:00]"/>
  </r>
  <r>
    <s v="3627751-1458734611-260"/>
    <s v="Spot"/>
    <s v="3627751-1458734611-260"/>
    <n v="0"/>
    <d v="2016-03-31T00:00:00"/>
    <x v="1667"/>
    <s v="260"/>
    <s v="SELL"/>
    <n v="9.7379999999999995"/>
    <x v="0"/>
    <x v="12"/>
    <n v="48.69"/>
    <s v="Deal"/>
    <m/>
    <s v="Original Amount [EUR 5], Merchant Amount [EUR 5], Customer Amount [SEK 48.69], Status [APPROVED], Operation [DIRECT], UUID [3627751-1458734611-260] [23/03/2016 at 12:03:00]"/>
  </r>
  <r>
    <s v="3627745-1458734608-187"/>
    <s v="Spot"/>
    <s v="3627745-1458734608-187"/>
    <n v="0"/>
    <d v="2016-03-31T00:00:00"/>
    <x v="1668"/>
    <s v="187"/>
    <s v="SELL"/>
    <n v="9.9664461247637046"/>
    <x v="0"/>
    <x v="1"/>
    <n v="210.89"/>
    <s v="Deal"/>
    <m/>
    <s v="Original Amount [EUR 21.16], Merchant Amount [EUR 21.16], Customer Amount [NOK 210.89], Status [APPROVED], Operation [DIRECT], UUID [3627745-1458734608-187] [23/03/2016 at 12:03:00]"/>
  </r>
  <r>
    <s v="3627778-1458734631-216"/>
    <s v="Spot"/>
    <s v="3627778-1458734631-216"/>
    <n v="0"/>
    <d v="2016-03-31T00:00:00"/>
    <x v="1669"/>
    <s v="216"/>
    <s v="SELL"/>
    <n v="3.3969171483622351"/>
    <x v="0"/>
    <x v="0"/>
    <n v="52.89"/>
    <s v="Deal"/>
    <m/>
    <s v="Original Amount [EUR 15.57], Merchant Amount [EUR 15.57], Customer Amount [TRY 52.89], Status [APPROVED], Operation [3DAUTH], UUID [3627778-1458734631-216] [23/03/2016 at 12:03:00]"/>
  </r>
  <r>
    <s v="3627769-1458734622-56"/>
    <s v="Spot"/>
    <s v="3627769-1458734622-56"/>
    <n v="0"/>
    <d v="2016-03-31T00:00:00"/>
    <x v="167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7769-1458734622-56] [23/03/2016 at 12:03:00]"/>
  </r>
  <r>
    <s v="3627721-1458734589-238"/>
    <s v="Spot"/>
    <s v="3627721-1458734589-238"/>
    <n v="0"/>
    <d v="2016-03-31T00:00:00"/>
    <x v="1671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7721-1458734589-238] [23/03/2016 at 12:03:00]"/>
  </r>
  <r>
    <s v="3627712-1458734575-261"/>
    <s v="Spot"/>
    <s v="3627712-1458734575-261"/>
    <n v="0"/>
    <d v="2016-03-31T00:00:00"/>
    <x v="1672"/>
    <s v="261"/>
    <s v="SELL"/>
    <n v="9.9406542056074763"/>
    <x v="0"/>
    <x v="1"/>
    <n v="212.73"/>
    <s v="Deal"/>
    <m/>
    <s v="Original Amount [EUR 21.4], Merchant Amount [EUR 21.4], Customer Amount [NOK 212.73], Status [APPROVED], Operation [DIRECT], UUID [3627712-1458734575-261] [23/03/2016 at 12:02:00]"/>
  </r>
  <r>
    <s v="3627706-1458734566-119"/>
    <s v="Spot"/>
    <s v="3627706-1458734566-119"/>
    <n v="0"/>
    <d v="2016-03-31T00:00:00"/>
    <x v="1673"/>
    <s v="119"/>
    <s v="SELL"/>
    <n v="9.9404000000000003"/>
    <x v="0"/>
    <x v="1"/>
    <n v="248.51"/>
    <s v="Deal"/>
    <m/>
    <s v="Original Amount [EUR 25], Merchant Amount [EUR 25], Customer Amount [NOK 248.51], Status [APPROVED], Operation [DIRECT], UUID [3627706-1458734566-119] [23/03/2016 at 12:02:00]"/>
  </r>
  <r>
    <s v="3627700-1458734554-199"/>
    <s v="Spot"/>
    <s v="3627700-1458734554-199"/>
    <n v="0"/>
    <d v="2016-03-31T00:00:00"/>
    <x v="1674"/>
    <s v="199"/>
    <s v="SELL"/>
    <n v="9.940322965081636"/>
    <x v="0"/>
    <x v="1"/>
    <n v="10009.11"/>
    <s v="Deal"/>
    <m/>
    <s v="Original Amount [EUR 1006.92], Merchant Amount [EUR 1006.92], Customer Amount [NOK 10009.11], Status [APPROVED], Operation [DIRECT], UUID [3627700-1458734554-199] [23/03/2016 at 12:02:00]"/>
  </r>
  <r>
    <s v="3627748-1458734609-216"/>
    <s v="Spot"/>
    <s v="3627748-1458734609-216"/>
    <n v="0"/>
    <d v="2016-03-31T00:00:00"/>
    <x v="1675"/>
    <s v="216"/>
    <s v="SELL"/>
    <n v="3.3964686998394864"/>
    <x v="0"/>
    <x v="0"/>
    <n v="105.8"/>
    <s v="Deal"/>
    <m/>
    <s v="Original Amount [EUR 31.15], Merchant Amount [EUR 31.15], Customer Amount [TRY 105.8], Status [APPROVED], Operation [3DAUTH], UUID [3627748-1458734609-216] [23/03/2016 at 12:03:00]"/>
  </r>
  <r>
    <s v="3627673-1458734510-241"/>
    <s v="Spot"/>
    <s v="3627673-1458734510-241"/>
    <n v="0"/>
    <d v="2016-03-31T00:00:00"/>
    <x v="1676"/>
    <s v="241"/>
    <s v="SELL"/>
    <n v="0.83227742580860298"/>
    <x v="0"/>
    <x v="4"/>
    <n v="24.96"/>
    <s v="Deal"/>
    <m/>
    <s v="Original Amount [EUR 29.99], Merchant Amount [EUR 29.99], Customer Amount [GBP 24.96], Status [APPROVED], Operation [DIRECT], UUID [3627673-1458734510-241] [23/03/2016 at 12:01:00]"/>
  </r>
  <r>
    <s v="3627667-1458734504-199"/>
    <s v="Spot"/>
    <s v="3627667-1458734504-199"/>
    <n v="0"/>
    <d v="2016-03-31T00:00:00"/>
    <x v="1677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67-1458734504-199] [23/03/2016 at 12:01:00]"/>
  </r>
  <r>
    <s v="3627682-1458734529-101"/>
    <s v="Spot"/>
    <s v="3627682-1458734529-101"/>
    <n v="0"/>
    <d v="2016-03-31T00:00:00"/>
    <x v="1678"/>
    <s v="101"/>
    <s v="SELL"/>
    <n v="3.3966354491848771"/>
    <x v="0"/>
    <x v="0"/>
    <n v="195.85"/>
    <s v="Deal"/>
    <m/>
    <s v="Original Amount [EUR 57.66], Merchant Amount [EUR 57.66], Customer Amount [TRY 195.85], Status [APPROVED], Operation [3DAUTH], UUID [3627682-1458734529-101] [23/03/2016 at 12:02:00]"/>
  </r>
  <r>
    <s v="3627655-1458734486-200"/>
    <s v="Spot"/>
    <s v="3627655-1458734486-200"/>
    <n v="0"/>
    <d v="2016-03-31T00:00:00"/>
    <x v="1679"/>
    <s v="200"/>
    <s v="SELL"/>
    <n v="9.940389294403893"/>
    <x v="0"/>
    <x v="1"/>
    <n v="980.52"/>
    <s v="Deal"/>
    <m/>
    <s v="Original Amount [EUR 98.64], Merchant Amount [EUR 98.64], Customer Amount [NOK 980.52], Status [APPROVED], Operation [STORED], UUID [3627655-1458734486-200] [23/03/2016 at 12:01:00]"/>
  </r>
  <r>
    <s v="3627652-1458734485-216"/>
    <s v="Spot"/>
    <s v="3627652-1458734485-216"/>
    <n v="0"/>
    <d v="2016-03-31T00:00:00"/>
    <x v="1680"/>
    <s v="216"/>
    <s v="SELL"/>
    <n v="3.3972477064220183"/>
    <x v="0"/>
    <x v="0"/>
    <n v="37.03"/>
    <s v="Deal"/>
    <m/>
    <s v="Original Amount [EUR 10.9], Merchant Amount [EUR 10.9], Customer Amount [TRY 37.03], Status [WAITING], Operation [3D], UUID [3627652-1458734485-216] [23/03/2016 at 12:01:00]"/>
  </r>
  <r>
    <s v="3627649-1458734485-224"/>
    <s v="Spot"/>
    <s v="3627649-1458734485-224"/>
    <n v="0"/>
    <d v="2016-03-31T00:00:00"/>
    <x v="1681"/>
    <s v="224"/>
    <s v="SELL"/>
    <n v="132.77705888803598"/>
    <x v="0"/>
    <x v="3"/>
    <n v="12107.94"/>
    <s v="Deal"/>
    <m/>
    <s v="Original Amount [EUR 91.19], Merchant Amount [EUR 91.19], Customer Amount [JPY 12107.94], Status [APPROVED], Operation [DIRECT], UUID [3627649-1458734485-224] [23/03/2016 at 12:01:00]"/>
  </r>
  <r>
    <s v="3627637-1458734467-212"/>
    <s v="Spot"/>
    <s v="3627637-1458734467-212"/>
    <n v="0"/>
    <d v="2016-03-31T00:00:00"/>
    <x v="1682"/>
    <s v="212"/>
    <s v="SELL"/>
    <n v="0.83249999999999991"/>
    <x v="0"/>
    <x v="4"/>
    <n v="16.649999999999999"/>
    <s v="Deal"/>
    <m/>
    <s v="Original Amount [EUR 20], Merchant Amount [EUR 20], Customer Amount [GBP 16.65], Status [APPROVED], Operation [3DAUTH], UUID [3627637-1458734467-212] [23/03/2016 at 12:01:00]"/>
  </r>
  <r>
    <s v="3627625-1458734450-171"/>
    <s v="Spot"/>
    <s v="3627625-1458734450-171"/>
    <n v="0"/>
    <d v="2016-03-31T00:00:00"/>
    <x v="1683"/>
    <s v="171"/>
    <s v="SELL"/>
    <n v="9.9404000000000003"/>
    <x v="0"/>
    <x v="1"/>
    <n v="497.02"/>
    <s v="Deal"/>
    <m/>
    <s v="Original Amount [EUR 50], Merchant Amount [EUR 50], Customer Amount [NOK 497.02], Status [APPROVED], Operation [DIRECT], UUID [3627625-1458734450-171] [23/03/2016 at 12:00:00]"/>
  </r>
  <r>
    <s v="3627622-1458734449-199"/>
    <s v="Spot"/>
    <s v="3627622-1458734449-199"/>
    <n v="0"/>
    <d v="2016-03-31T00:00:00"/>
    <x v="1684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7622-1458734449-199] [23/03/2016 at 12:00:00]"/>
  </r>
  <r>
    <s v="3627619-1458734441-224"/>
    <s v="Spot"/>
    <s v="3627619-1458734441-224"/>
    <n v="0"/>
    <d v="2016-03-31T00:00:00"/>
    <x v="1685"/>
    <s v="224"/>
    <s v="SELL"/>
    <n v="132.77704678362574"/>
    <x v="0"/>
    <x v="3"/>
    <n v="3632.78"/>
    <s v="Deal"/>
    <m/>
    <s v="Original Amount [EUR 27.36], Merchant Amount [EUR 27.36], Customer Amount [JPY 3632.78], Status [APPROVED], Operation [DIRECT], UUID [3627619-1458734441-224] [23/03/2016 at 12:00:00]"/>
  </r>
  <r>
    <s v="3627610-1458734434-238"/>
    <s v="Spot"/>
    <s v="3627610-1458734434-238"/>
    <n v="0"/>
    <d v="2016-03-31T00:00:00"/>
    <x v="1686"/>
    <s v="238"/>
    <s v="SELL"/>
    <n v="1.554744525547445"/>
    <x v="0"/>
    <x v="2"/>
    <n v="2.13"/>
    <s v="Deal"/>
    <m/>
    <s v="Original Amount [EUR 1.37], Merchant Amount [EUR 1.37], Customer Amount [CAD 2.13], Status [APPROVED], Operation [DIRECT], UUID [3627610-1458734434-238] [23/03/2016 at 12:00:00]"/>
  </r>
  <r>
    <s v="3627601-1458734431-224"/>
    <s v="Spot"/>
    <s v="3627601-1458734431-224"/>
    <n v="0"/>
    <d v="2016-03-31T00:00:00"/>
    <x v="1687"/>
    <s v="224"/>
    <s v="SELL"/>
    <n v="9.9403881700554528"/>
    <x v="0"/>
    <x v="1"/>
    <n v="215.11"/>
    <s v="Deal"/>
    <m/>
    <s v="Original Amount [EUR 21.64], Merchant Amount [EUR 21.64], Customer Amount [NOK 215.11], Status [APPROVED], Operation [DIRECT], UUID [3627601-1458734431-224] [23/03/2016 at 12:00:00]"/>
  </r>
  <r>
    <s v="3627574-1458734403-199"/>
    <s v="Spot"/>
    <s v="3627574-1458734403-199"/>
    <n v="0"/>
    <d v="2016-03-31T00:00:00"/>
    <x v="1688"/>
    <s v="199"/>
    <s v="SELL"/>
    <n v="9.94031911629334"/>
    <x v="0"/>
    <x v="1"/>
    <n v="647.91"/>
    <s v="Deal"/>
    <m/>
    <s v="Original Amount [EUR 65.18], Merchant Amount [EUR 65.18], Customer Amount [NOK 647.91], Status [APPROVED], Operation [DIRECT], UUID [3627574-1458734403-199] [23/03/2016 at 12:00:00]"/>
  </r>
  <r>
    <s v="3627562-1458734389-224"/>
    <s v="Spot"/>
    <s v="3627562-1458734389-224"/>
    <n v="0"/>
    <d v="2016-03-31T00:00:00"/>
    <x v="1689"/>
    <s v="224"/>
    <s v="SELL"/>
    <n v="9.9506335797254479"/>
    <x v="0"/>
    <x v="1"/>
    <n v="753.86"/>
    <s v="Deal"/>
    <m/>
    <s v="Original Amount [EUR 75.76], Merchant Amount [EUR 75.76], Customer Amount [NOK 753.86], Status [APPROVED], Operation [DIRECT], UUID [3627562-1458734389-224] [23/03/2016 at 11:59:00]"/>
  </r>
  <r>
    <s v="3627598-1458734429-154"/>
    <s v="Spot"/>
    <s v="3627598-1458734429-154"/>
    <n v="0"/>
    <d v="2016-03-31T00:00:00"/>
    <x v="1690"/>
    <s v="154"/>
    <s v="SELL"/>
    <n v="9.9505667506297222"/>
    <x v="0"/>
    <x v="1"/>
    <n v="316.02999999999997"/>
    <s v="Deal"/>
    <m/>
    <s v="Original Amount [EUR 31.76], Merchant Amount [EUR 31.76], Customer Amount [NOK 316.03], Status [APPROVED], Operation [3DAUTH], UUID [3627598-1458734429-154] [23/03/2016 at 12:00:00]"/>
  </r>
  <r>
    <s v="3627535-1458734355-224"/>
    <s v="Spot"/>
    <s v="3627535-1458734355-224"/>
    <n v="0"/>
    <d v="2016-03-31T00:00:00"/>
    <x v="1691"/>
    <s v="224"/>
    <s v="SELL"/>
    <n v="133.03565551289083"/>
    <x v="0"/>
    <x v="3"/>
    <n v="2425.2399999999998"/>
    <s v="Deal"/>
    <m/>
    <s v="Original Amount [EUR 18.23], Merchant Amount [EUR 18.23], Customer Amount [JPY 2425.24], Status [APPROVED], Operation [DIRECT], UUID [3627535-1458734355-224] [23/03/2016 at 11:59:00]"/>
  </r>
  <r>
    <s v="3627517-1458734331-224"/>
    <s v="Spot"/>
    <s v="3627517-1458734331-224"/>
    <n v="0"/>
    <d v="2016-03-31T00:00:00"/>
    <x v="1692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517-1458734331-224] [23/03/2016 at 11:58:00]"/>
  </r>
  <r>
    <s v="3627511-1458734321-119"/>
    <s v="Spot"/>
    <s v="3627511-1458734321-119"/>
    <n v="0"/>
    <d v="2016-03-31T00:00:00"/>
    <x v="1693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511-1458734321-119] [23/03/2016 at 11:58:00]"/>
  </r>
  <r>
    <s v="3627532-1458734351-56"/>
    <s v="Spot"/>
    <s v="3627532-1458734351-56"/>
    <n v="0"/>
    <d v="2016-03-31T00:00:00"/>
    <x v="1694"/>
    <s v="56"/>
    <s v="SELL"/>
    <n v="3.3969669937555751"/>
    <x v="0"/>
    <x v="0"/>
    <n v="38.08"/>
    <s v="Deal"/>
    <m/>
    <s v="Original Amount [EUR 11.21], Merchant Amount [EUR 11.21], Customer Amount [TRY 38.08], Status [APPROVED], Operation [3DAUTH], UUID [3627532-1458734351-56] [23/03/2016 at 11:59:00]"/>
  </r>
  <r>
    <s v="3627505-1458734308-187"/>
    <s v="Spot"/>
    <s v="3627505-1458734308-187"/>
    <n v="0"/>
    <d v="2016-03-31T00:00:00"/>
    <x v="1695"/>
    <s v="187"/>
    <s v="SELL"/>
    <n v="9.9505804060952094"/>
    <x v="0"/>
    <x v="1"/>
    <n v="2631.63"/>
    <s v="Deal"/>
    <m/>
    <s v="Original Amount [EUR 264.47], Merchant Amount [EUR 264.47], Customer Amount [NOK 2631.63], Status [APPROVED], Operation [DIRECT], UUID [3627505-1458734308-187] [23/03/2016 at 11:58:00]"/>
  </r>
  <r>
    <s v="3627523-1458734334-56"/>
    <s v="Spot"/>
    <s v="3627523-1458734334-56"/>
    <n v="0"/>
    <d v="2016-03-31T00:00:00"/>
    <x v="1696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7523-1458734334-56] [23/03/2016 at 11:58:00]"/>
  </r>
  <r>
    <s v="3627496-1458734300-200"/>
    <s v="Spot"/>
    <s v="3627496-1458734300-200"/>
    <n v="0"/>
    <d v="2016-03-31T00:00:00"/>
    <x v="1697"/>
    <s v="200"/>
    <s v="SELL"/>
    <n v="9.9506341819509085"/>
    <x v="0"/>
    <x v="1"/>
    <n v="1090.49"/>
    <s v="Deal"/>
    <m/>
    <s v="Original Amount [EUR 109.59], Merchant Amount [EUR 109.59], Customer Amount [NOK 1090.49], Status [APPROVED], Operation [STORED], UUID [3627496-1458734300-200] [23/03/2016 at 11:58:00]"/>
  </r>
  <r>
    <s v="3627490-1458734296-224"/>
    <s v="Spot"/>
    <s v="3627490-1458734296-224"/>
    <n v="0"/>
    <d v="2016-03-31T00:00:00"/>
    <x v="1698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490-1458734296-224] [23/03/2016 at 11:58:00]"/>
  </r>
  <r>
    <s v="3627544-1458734371-216"/>
    <s v="Spot"/>
    <s v="3627544-1458734371-216"/>
    <n v="0"/>
    <d v="2016-03-31T00:00:00"/>
    <x v="1699"/>
    <s v="216"/>
    <s v="SELL"/>
    <n v="3.3968593861527485"/>
    <x v="0"/>
    <x v="0"/>
    <n v="47.59"/>
    <s v="Deal"/>
    <m/>
    <s v="Original Amount [EUR 14.01], Merchant Amount [EUR 14.01], Customer Amount [TRY 47.59], Status [APPROVED], Operation [3DAUTH], UUID [3627544-1458734371-216] [23/03/2016 at 11:59:00]"/>
  </r>
  <r>
    <s v="3627499-1458734302-179"/>
    <s v="Spot"/>
    <s v="3627499-1458734302-179"/>
    <n v="0"/>
    <d v="2016-03-31T00:00:00"/>
    <x v="1700"/>
    <s v="179"/>
    <s v="SELL"/>
    <n v="3.3967234179248313"/>
    <x v="0"/>
    <x v="0"/>
    <n v="105.74"/>
    <s v="Deal"/>
    <m/>
    <s v="Original Amount [EUR 31.13], Merchant Amount [EUR 31.13], Customer Amount [TRY 105.74], Status [APPROVED], Operation [3DAUTH], UUID [3627499-1458734302-179] [23/03/2016 at 11:58:00]"/>
  </r>
  <r>
    <s v="3627460-1458734253-199"/>
    <s v="Spot"/>
    <s v="3627460-1458734253-199"/>
    <n v="0"/>
    <d v="2016-03-31T00:00:00"/>
    <x v="1701"/>
    <s v="199"/>
    <s v="SELL"/>
    <n v="9.9507593189139438"/>
    <x v="0"/>
    <x v="1"/>
    <n v="216.23"/>
    <s v="Deal"/>
    <m/>
    <s v="Original Amount [EUR 21.73], Merchant Amount [EUR 21.73], Customer Amount [NOK 216.23], Status [APPROVED], Operation [DIRECT], UUID [3627460-1458734253-199] [23/03/2016 at 11:57:00]"/>
  </r>
  <r>
    <s v="3627484-1458734289-56"/>
    <s v="Spot"/>
    <s v="3627484-1458734289-56"/>
    <n v="0"/>
    <d v="2016-03-31T00:00:00"/>
    <x v="1702"/>
    <s v="56"/>
    <s v="SELL"/>
    <n v="3.3975"/>
    <x v="0"/>
    <x v="0"/>
    <n v="27.18"/>
    <s v="Deal"/>
    <m/>
    <s v="Original Amount [EUR 8], Merchant Amount [EUR 8], Customer Amount [TRY 27.18], Status [APPROVED], Operation [3DAUTH], UUID [3627484-1458734289-56] [23/03/2016 at 11:58:00]"/>
  </r>
  <r>
    <s v="3627442-1458734241-224"/>
    <s v="Spot"/>
    <s v="3627442-1458734241-224"/>
    <n v="0"/>
    <d v="2016-03-31T00:00:00"/>
    <x v="1703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442-1458734241-224] [23/03/2016 at 11:57:00]"/>
  </r>
  <r>
    <s v="3627439-1458734240-56"/>
    <s v="Spot"/>
    <s v="3627439-1458734240-56"/>
    <n v="0"/>
    <d v="2016-03-31T00:00:00"/>
    <x v="1704"/>
    <s v="56"/>
    <s v="SELL"/>
    <n v="3.3968784838350055"/>
    <x v="0"/>
    <x v="0"/>
    <n v="91.41"/>
    <s v="Deal"/>
    <m/>
    <s v="Original Amount [EUR 26.91], Merchant Amount [EUR 26.91], Customer Amount [TRY 91.41], Status [WAITING], Operation [3D], UUID [3627439-1458734240-56] [23/03/2016 at 11:57:00]"/>
  </r>
  <r>
    <s v="3627475-1458734262-126"/>
    <s v="Spot"/>
    <s v="3627475-1458734262-126"/>
    <n v="0"/>
    <d v="2016-03-31T00:00:00"/>
    <x v="1705"/>
    <s v="126"/>
    <s v="SELL"/>
    <n v="9.9507317073170736"/>
    <x v="0"/>
    <x v="1"/>
    <n v="203.99"/>
    <s v="Deal"/>
    <m/>
    <s v="Original Amount [EUR 20.5], Merchant Amount [EUR 20.5], Customer Amount [NOK 203.99], Status [APPROVED], Operation [3DAUTH], UUID [3627475-1458734262-126] [23/03/2016 at 11:57:00]"/>
  </r>
  <r>
    <s v="3627466-1458734257-216"/>
    <s v="Spot"/>
    <s v="3627466-1458734257-216"/>
    <n v="0"/>
    <d v="2016-03-31T00:00:00"/>
    <x v="1706"/>
    <s v="216"/>
    <s v="SELL"/>
    <n v="3.3965949245101186"/>
    <x v="0"/>
    <x v="0"/>
    <n v="528.67999999999995"/>
    <s v="Deal"/>
    <m/>
    <s v="Original Amount [EUR 155.65], Merchant Amount [EUR 155.65], Customer Amount [TRY 528.68], Status [APPROVED], Operation [3DAUTH], UUID [3627466-1458734257-216] [23/03/2016 at 11:57:00]"/>
  </r>
  <r>
    <s v="3627451-1458734251-107"/>
    <s v="Spot"/>
    <s v="3627451-1458734251-107"/>
    <n v="0"/>
    <d v="2016-03-31T00:00:00"/>
    <x v="1707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7451-1458734251-107] [23/03/2016 at 11:57:00]"/>
  </r>
  <r>
    <s v="3627403-1458734193-119"/>
    <s v="Spot"/>
    <s v="3627403-1458734193-119"/>
    <n v="0"/>
    <d v="2016-03-31T00:00:00"/>
    <x v="1708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7403-1458734193-119] [23/03/2016 at 11:56:00]"/>
  </r>
  <r>
    <s v="3627373-1458734164-126"/>
    <s v="Spot"/>
    <s v="3627373-1458734164-126"/>
    <n v="0"/>
    <d v="2016-03-31T00:00:00"/>
    <x v="1709"/>
    <s v="126"/>
    <s v="SELL"/>
    <n v="9.9505851755526642"/>
    <x v="0"/>
    <x v="1"/>
    <n v="153.04"/>
    <s v="Deal"/>
    <m/>
    <s v="Original Amount [EUR 15.38], Merchant Amount [EUR 15.38], Customer Amount [NOK 153.04], Status [APPROVED], Operation [DIRECT], UUID [3627373-1458734164-126] [23/03/2016 at 11:56:00]"/>
  </r>
  <r>
    <s v="3627400-1458734190-216"/>
    <s v="Spot"/>
    <s v="3627400-1458734190-216"/>
    <n v="0"/>
    <d v="2016-03-31T00:00:00"/>
    <x v="1710"/>
    <s v="216"/>
    <s v="SELL"/>
    <n v="3.3970021413276226"/>
    <x v="0"/>
    <x v="0"/>
    <n v="79.319999999999993"/>
    <s v="Deal"/>
    <m/>
    <s v="Original Amount [EUR 23.35], Merchant Amount [EUR 23.35], Customer Amount [TRY 79.32], Status [APPROVED], Operation [3DAUTH], UUID [3627400-1458734190-216] [23/03/2016 at 11:56:00]"/>
  </r>
  <r>
    <s v="3627382-1458734175-216"/>
    <s v="Spot"/>
    <s v="3627382-1458734175-216"/>
    <n v="0"/>
    <d v="2016-03-31T00:00:00"/>
    <x v="1711"/>
    <s v="216"/>
    <s v="SELL"/>
    <n v="3.3970446514616124"/>
    <x v="0"/>
    <x v="0"/>
    <n v="528.75"/>
    <s v="Deal"/>
    <m/>
    <s v="Original Amount [EUR 155.65], Merchant Amount [EUR 155.65], Customer Amount [TRY 528.75], Status [APPROVED], Operation [3DAUTH], UUID [3627382-1458734175-216] [23/03/2016 at 11:56:00]"/>
  </r>
  <r>
    <s v="3627397-1458734189-203"/>
    <s v="Spot"/>
    <s v="3627397-1458734189-203"/>
    <n v="0"/>
    <d v="2016-03-31T00:00:00"/>
    <x v="1712"/>
    <s v="203"/>
    <s v="SELL"/>
    <n v="79.92"/>
    <x v="0"/>
    <x v="8"/>
    <n v="1238.76"/>
    <s v="Deal"/>
    <m/>
    <s v="Original Amount [EUR 15.5], Merchant Amount [EUR 15.5], Customer Amount [RUB 1238.76], Status [APPROVED], Operation [3DAUTH], UUID [3627397-1458734189-203] [23/03/2016 at 11:56:00]"/>
  </r>
  <r>
    <s v="3627388-1458734179-216"/>
    <s v="Spot"/>
    <s v="3627388-1458734179-216"/>
    <n v="0"/>
    <d v="2016-03-31T00:00:00"/>
    <x v="1713"/>
    <s v="216"/>
    <s v="SELL"/>
    <n v="3.3972067039106149"/>
    <x v="0"/>
    <x v="0"/>
    <n v="121.62"/>
    <s v="Deal"/>
    <m/>
    <s v="Original Amount [EUR 35.8], Merchant Amount [EUR 35.8], Customer Amount [TRY 121.62], Status [APPROVED], Operation [3DAUTH], UUID [3627388-1458734179-216] [23/03/2016 at 11:56:00]"/>
  </r>
  <r>
    <s v="3627394-1458734183-56"/>
    <s v="Spot"/>
    <s v="3627394-1458734183-56"/>
    <n v="0"/>
    <d v="2016-03-31T00:00:00"/>
    <x v="1714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94-1458734183-56] [23/03/2016 at 11:56:00]"/>
  </r>
  <r>
    <s v="3627364-1458734155-56"/>
    <s v="Spot"/>
    <s v="3627364-1458734155-56"/>
    <n v="0"/>
    <d v="2016-03-31T00:00:00"/>
    <x v="1715"/>
    <s v="56"/>
    <s v="SELL"/>
    <n v="3.397113917025115"/>
    <x v="0"/>
    <x v="0"/>
    <n v="244.83"/>
    <s v="Deal"/>
    <m/>
    <s v="Original Amount [EUR 72.07], Merchant Amount [EUR 72.07], Customer Amount [TRY 244.83], Status [APPROVED], Operation [3DAUTH], UUID [3627364-1458734155-56] [23/03/2016 at 11:55:00]"/>
  </r>
  <r>
    <s v="3627349-1458734133-224"/>
    <s v="Spot"/>
    <s v="3627349-1458734133-224"/>
    <n v="0"/>
    <d v="2016-03-31T00:00:00"/>
    <x v="1716"/>
    <s v="224"/>
    <s v="SELL"/>
    <n v="133.03558052434457"/>
    <x v="0"/>
    <x v="3"/>
    <n v="4972.87"/>
    <s v="Deal"/>
    <m/>
    <s v="Original Amount [EUR 37.38], Merchant Amount [EUR 37.38], Customer Amount [JPY 4972.87], Status [APPROVED], Operation [DIRECT], UUID [3627349-1458734133-224] [23/03/2016 at 11:55:00]"/>
  </r>
  <r>
    <s v="3627340-1458734109-101"/>
    <s v="Spot"/>
    <s v="3627340-1458734109-101"/>
    <n v="0"/>
    <d v="2016-03-31T00:00:00"/>
    <x v="1717"/>
    <s v="101"/>
    <s v="SELL"/>
    <n v="3.3970863683662853"/>
    <x v="0"/>
    <x v="0"/>
    <n v="326.45999999999998"/>
    <s v="Deal"/>
    <m/>
    <s v="Original Amount [EUR 96.1], Merchant Amount [EUR 96.1], Customer Amount [TRY 326.46], Status [APPROVED], Operation [3DAUTH], UUID [3627340-1458734109-101] [23/03/2016 at 11:55:00]"/>
  </r>
  <r>
    <s v="3627334-1458734088-216"/>
    <s v="Spot"/>
    <s v="3627334-1458734088-216"/>
    <n v="0"/>
    <d v="2016-03-31T00:00:00"/>
    <x v="1718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334-1458734088-216] [23/03/2016 at 11:54:00]"/>
  </r>
  <r>
    <s v="3627331-1458734087-56"/>
    <s v="Spot"/>
    <s v="3627331-1458734087-56"/>
    <n v="0"/>
    <d v="2016-03-31T00:00:00"/>
    <x v="1719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7331-1458734087-56] [23/03/2016 at 11:54:00]"/>
  </r>
  <r>
    <s v="3627304-1458734050-224"/>
    <s v="Spot"/>
    <s v="3627304-1458734050-224"/>
    <n v="0"/>
    <d v="2016-03-31T00:00:00"/>
    <x v="1720"/>
    <s v="224"/>
    <s v="SELL"/>
    <n v="9.9505545286506472"/>
    <x v="0"/>
    <x v="1"/>
    <n v="215.33"/>
    <s v="Deal"/>
    <m/>
    <s v="Original Amount [EUR 21.64], Merchant Amount [EUR 21.64], Customer Amount [NOK 215.33], Status [APPROVED], Operation [DIRECT], UUID [3627304-1458734050-224] [23/03/2016 at 11:54:00]"/>
  </r>
  <r>
    <s v="3627298-1458734043-145"/>
    <s v="Spot"/>
    <s v="3627298-1458734043-145"/>
    <n v="0"/>
    <d v="2016-03-31T00:00:00"/>
    <x v="1721"/>
    <s v="145"/>
    <s v="SELL"/>
    <n v="9.9506599622878689"/>
    <x v="0"/>
    <x v="1"/>
    <n v="633.26"/>
    <s v="Deal"/>
    <m/>
    <s v="Original Amount [EUR 63.64], Merchant Amount [EUR 63.64], Customer Amount [NOK 633.26], Status [APPROVED], Operation [DIRECT], UUID [3627298-1458734043-145] [23/03/2016 at 11:54:00]"/>
  </r>
  <r>
    <s v="3627292-1458734042-203"/>
    <s v="Spot"/>
    <s v="3627292-1458734042-203"/>
    <n v="0"/>
    <d v="2016-03-31T00:00:00"/>
    <x v="1722"/>
    <s v="203"/>
    <s v="SELL"/>
    <n v="3.3970967741935483"/>
    <x v="0"/>
    <x v="0"/>
    <n v="105.31"/>
    <s v="Deal"/>
    <m/>
    <s v="Original Amount [EUR 31], Merchant Amount [EUR 31], Customer Amount [TRY 105.31], Status [APPROVED], Operation [3DAUTH], UUID [3627292-1458734042-203] [23/03/2016 at 11:54:00]"/>
  </r>
  <r>
    <s v="3627262-1458734014-238"/>
    <s v="Spot"/>
    <s v="3627262-1458734014-238"/>
    <n v="0"/>
    <d v="2016-03-31T00:00:00"/>
    <x v="1723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7262-1458734014-238] [23/03/2016 at 11:53:00]"/>
  </r>
  <r>
    <s v="3627256-1458734009-119"/>
    <s v="Spot"/>
    <s v="3627256-1458734009-119"/>
    <n v="0"/>
    <d v="2016-03-31T00:00:00"/>
    <x v="1724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7256-1458734009-119] [23/03/2016 at 11:53:00]"/>
  </r>
  <r>
    <s v="3627247-1458734004-224"/>
    <s v="Spot"/>
    <s v="3627247-1458734004-224"/>
    <n v="0"/>
    <d v="2016-03-31T00:00:00"/>
    <x v="1725"/>
    <s v="224"/>
    <s v="SELL"/>
    <n v="133.03581871345031"/>
    <x v="0"/>
    <x v="3"/>
    <n v="3639.86"/>
    <s v="Deal"/>
    <m/>
    <s v="Original Amount [EUR 27.36], Merchant Amount [EUR 27.36], Customer Amount [JPY 3639.86], Status [APPROVED], Operation [DIRECT], UUID [3627247-1458734004-224] [23/03/2016 at 11:53:00]"/>
  </r>
  <r>
    <s v="3627241-1458733998-119"/>
    <s v="Spot"/>
    <s v="3627241-1458733998-119"/>
    <n v="0"/>
    <d v="2016-03-31T00:00:00"/>
    <x v="1726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7241-1458733998-119] [23/03/2016 at 11:53:00]"/>
  </r>
  <r>
    <s v="3627235-1458733977-199"/>
    <s v="Spot"/>
    <s v="3627235-1458733977-199"/>
    <n v="0"/>
    <d v="2016-03-31T00:00:00"/>
    <x v="1727"/>
    <s v="199"/>
    <s v="SELL"/>
    <n v="9.9505983430500144"/>
    <x v="0"/>
    <x v="1"/>
    <n v="648.58000000000004"/>
    <s v="Deal"/>
    <m/>
    <s v="Original Amount [EUR 65.18], Merchant Amount [EUR 65.18], Customer Amount [NOK 648.58], Status [APPROVED], Operation [DIRECT], UUID [3627235-1458733977-199] [23/03/2016 at 11:52:00]"/>
  </r>
  <r>
    <s v="3627238-1458733997-216"/>
    <s v="Spot"/>
    <s v="3627238-1458733997-216"/>
    <n v="0"/>
    <d v="2016-03-31T00:00:00"/>
    <x v="1728"/>
    <s v="216"/>
    <s v="SELL"/>
    <n v="3.3975594091201025"/>
    <x v="0"/>
    <x v="0"/>
    <n v="52.9"/>
    <s v="Deal"/>
    <m/>
    <s v="Original Amount [EUR 15.57], Merchant Amount [EUR 15.57], Customer Amount [TRY 52.9], Status [APPROVED], Operation [3DAUTH], UUID [3627238-1458733997-216] [23/03/2016 at 11:53:00]"/>
  </r>
  <r>
    <s v="3627223-1458733964-187"/>
    <s v="Spot"/>
    <s v="3627223-1458733964-187"/>
    <n v="0"/>
    <d v="2016-03-31T00:00:00"/>
    <x v="1729"/>
    <s v="187"/>
    <s v="SELL"/>
    <n v="9.9508506616257097"/>
    <x v="0"/>
    <x v="1"/>
    <n v="210.56"/>
    <s v="Deal"/>
    <m/>
    <s v="Original Amount [EUR 21.16], Merchant Amount [EUR 21.16], Customer Amount [NOK 210.56], Status [APPROVED], Operation [DIRECT], UUID [3627223-1458733964-187] [23/03/2016 at 11:52:00]"/>
  </r>
  <r>
    <s v="3627220-1458733956-224"/>
    <s v="Spot"/>
    <s v="3627220-1458733956-224"/>
    <n v="0"/>
    <d v="2016-03-31T00:00:00"/>
    <x v="1730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220-1458733956-224] [23/03/2016 at 11:52:00]"/>
  </r>
  <r>
    <s v="3627205-1458733922-224"/>
    <s v="Spot"/>
    <s v="3627205-1458733922-224"/>
    <n v="0"/>
    <d v="2016-03-31T00:00:00"/>
    <x v="1731"/>
    <s v="224"/>
    <s v="SELL"/>
    <n v="133.03595368677634"/>
    <x v="0"/>
    <x v="3"/>
    <n v="2183.12"/>
    <s v="Deal"/>
    <m/>
    <s v="Original Amount [EUR 16.41], Merchant Amount [EUR 16.41], Customer Amount [JPY 2183.12], Status [APPROVED], Operation [DIRECT], UUID [3627205-1458733922-224] [23/03/2016 at 11:52:00]"/>
  </r>
  <r>
    <s v="3627211-1458733942-216"/>
    <s v="Spot"/>
    <s v="3627211-1458733942-216"/>
    <n v="0"/>
    <d v="2016-03-31T00:00:00"/>
    <x v="1732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7211-1458733942-216] [23/03/2016 at 11:52:00]"/>
  </r>
  <r>
    <s v="3627199-1458733918-200"/>
    <s v="Spot"/>
    <s v="3627199-1458733918-200"/>
    <n v="0"/>
    <d v="2016-03-31T00:00:00"/>
    <x v="1733"/>
    <s v="200"/>
    <s v="SELL"/>
    <n v="9.9507299270072984"/>
    <x v="0"/>
    <x v="1"/>
    <n v="545.29999999999995"/>
    <s v="Deal"/>
    <m/>
    <s v="Original Amount [EUR 54.8], Merchant Amount [EUR 54.8], Customer Amount [NOK 545.3], Status [APPROVED], Operation [STORED], UUID [3627199-1458733918-200] [23/03/2016 at 11:51:00]"/>
  </r>
  <r>
    <s v="3627196-1458733914-145"/>
    <s v="Spot"/>
    <s v="3627196-1458733914-145"/>
    <n v="0"/>
    <d v="2016-03-31T00:00:00"/>
    <x v="1734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7196-1458733914-145] [23/03/2016 at 11:51:00]"/>
  </r>
  <r>
    <s v="3627217-1458733943-136"/>
    <s v="Spot"/>
    <s v="3627217-1458733943-136"/>
    <n v="0"/>
    <d v="2016-03-31T00:00:00"/>
    <x v="1735"/>
    <s v="136"/>
    <s v="SELL"/>
    <n v="3.3970967741935483"/>
    <x v="0"/>
    <x v="0"/>
    <n v="105.31"/>
    <s v="Deal"/>
    <m/>
    <s v="Original Amount [EUR 31], Merchant Amount [EUR 31], Customer Amount [TRY 105.31], Status [APPROVED], Operation [3DAUTH], UUID [3627217-1458733943-136] [23/03/2016 at 11:52:00]"/>
  </r>
  <r>
    <s v="3627184-1458733900-199"/>
    <s v="Spot"/>
    <s v="3627184-1458733900-199"/>
    <n v="0"/>
    <d v="2016-03-31T00:00:00"/>
    <x v="1736"/>
    <s v="199"/>
    <s v="SELL"/>
    <n v="9.9511970534069984"/>
    <x v="0"/>
    <x v="1"/>
    <n v="108.07"/>
    <s v="Deal"/>
    <m/>
    <s v="Original Amount [EUR 10.86], Merchant Amount [EUR 10.86], Customer Amount [NOK 108.07], Status [APPROVED], Operation [DIRECT], UUID [3627184-1458733900-199] [23/03/2016 at 11:51:00]"/>
  </r>
  <r>
    <s v="3627181-1458733898-224"/>
    <s v="Spot"/>
    <s v="3627181-1458733898-224"/>
    <n v="0"/>
    <d v="2016-03-31T00:00:00"/>
    <x v="1737"/>
    <s v="224"/>
    <s v="SELL"/>
    <n v="9.9507237449953809"/>
    <x v="0"/>
    <x v="1"/>
    <n v="323.10000000000002"/>
    <s v="Deal"/>
    <m/>
    <s v="Original Amount [EUR 32.47], Merchant Amount [EUR 32.47], Customer Amount [NOK 323.1], Status [APPROVED], Operation [DIRECT], UUID [3627181-1458733898-224] [23/03/2016 at 11:51:00]"/>
  </r>
  <r>
    <s v="3627193-1458733914-264"/>
    <s v="Spot"/>
    <s v="3627193-1458733914-264"/>
    <n v="0"/>
    <d v="2016-03-31T00:00:00"/>
    <x v="1738"/>
    <s v="264"/>
    <s v="SELL"/>
    <n v="3.3897216274089939"/>
    <x v="0"/>
    <x v="0"/>
    <n v="15.83"/>
    <s v="Deal"/>
    <m/>
    <s v="Original Amount [TRY 15], Merchant Amount [EUR 4.67], Customer Amount [TRY 15.83], Status [APPROVED], Operation [3DAUTH], UUID [3627193-1458733914-264] [23/03/2016 at 11:51:00]"/>
  </r>
  <r>
    <s v="3627175-1458733893-224"/>
    <s v="Spot"/>
    <s v="3627175-1458733893-224"/>
    <n v="0"/>
    <d v="2016-03-31T00:00:00"/>
    <x v="1739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7175-1458733893-224] [23/03/2016 at 11:51:00]"/>
  </r>
  <r>
    <s v="3627169-1458733878-224"/>
    <s v="Spot"/>
    <s v="3627169-1458733878-224"/>
    <n v="0"/>
    <d v="2016-03-31T00:00:00"/>
    <x v="1740"/>
    <s v="224"/>
    <s v="SELL"/>
    <n v="9.9505697566984921"/>
    <x v="0"/>
    <x v="1"/>
    <n v="1292.3800000000001"/>
    <s v="Deal"/>
    <m/>
    <s v="Original Amount [EUR 129.88], Merchant Amount [EUR 129.88], Customer Amount [NOK 1292.38], Status [APPROVED], Operation [DIRECT], UUID [3627169-1458733878-224] [23/03/2016 at 11:51:00]"/>
  </r>
  <r>
    <s v="3627160-1458733867-216"/>
    <s v="Spot"/>
    <s v="3627160-1458733867-216"/>
    <n v="0"/>
    <d v="2016-03-31T00:00:00"/>
    <x v="1741"/>
    <s v="216"/>
    <s v="SELL"/>
    <n v="3.3975731620271237"/>
    <x v="0"/>
    <x v="0"/>
    <n v="47.6"/>
    <s v="Deal"/>
    <m/>
    <s v="Original Amount [EUR 14.01], Merchant Amount [EUR 14.01], Customer Amount [TRY 47.6], Status [WAITING], Operation [3D], UUID [3627160-1458733867-216] [23/03/2016 at 11:51:00]"/>
  </r>
  <r>
    <s v="3627166-1458733875-119"/>
    <s v="Spot"/>
    <s v="3627166-1458733875-119"/>
    <n v="0"/>
    <d v="2016-03-31T00:00:00"/>
    <x v="1742"/>
    <s v="119"/>
    <s v="SELL"/>
    <n v="9.9548000000000005"/>
    <x v="0"/>
    <x v="1"/>
    <n v="248.87"/>
    <s v="Deal"/>
    <m/>
    <s v="Original Amount [EUR 25], Merchant Amount [EUR 25], Customer Amount [NOK 248.87], Status [APPROVED], Operation [3DAUTH], UUID [3627166-1458733875-119] [23/03/2016 at 11:51:00]"/>
  </r>
  <r>
    <s v="3627130-1458733836-224"/>
    <s v="Spot"/>
    <s v="3627130-1458733836-224"/>
    <n v="0"/>
    <d v="2016-03-31T00:00:00"/>
    <x v="1743"/>
    <s v="224"/>
    <s v="SELL"/>
    <n v="133.03790726817041"/>
    <x v="0"/>
    <x v="3"/>
    <n v="4246.57"/>
    <s v="Deal"/>
    <m/>
    <s v="Original Amount [EUR 31.92], Merchant Amount [EUR 31.92], Customer Amount [JPY 4246.57], Status [APPROVED], Operation [DIRECT], UUID [3627130-1458733836-224] [23/03/2016 at 11:50:00]"/>
  </r>
  <r>
    <s v="3627253-1458734007-216"/>
    <s v="Spot"/>
    <s v="3627253-1458734007-216"/>
    <n v="0"/>
    <d v="2016-03-31T00:00:00"/>
    <x v="1744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253-1458734007-216] [23/03/2016 at 11:53:00]"/>
  </r>
  <r>
    <s v="3627118-1458733829-199"/>
    <s v="Spot"/>
    <s v="3627118-1458733829-199"/>
    <n v="0"/>
    <d v="2016-03-31T00:00:00"/>
    <x v="174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7118-1458733829-199] [23/03/2016 at 11:50:00]"/>
  </r>
  <r>
    <s v="3627106-1458733806-199"/>
    <s v="Spot"/>
    <s v="3627106-1458733806-199"/>
    <n v="0"/>
    <d v="2016-03-31T00:00:00"/>
    <x v="1746"/>
    <s v="199"/>
    <s v="SELL"/>
    <n v="9.9549418604651159"/>
    <x v="0"/>
    <x v="1"/>
    <n v="205.47"/>
    <s v="Deal"/>
    <m/>
    <s v="Original Amount [EUR 20.64], Merchant Amount [EUR 20.64], Customer Amount [NOK 205.47], Status [APPROVED], Operation [DIRECT], UUID [3627106-1458733806-199] [23/03/2016 at 11:50:00]"/>
  </r>
  <r>
    <s v="3627103-1458733802-200"/>
    <s v="Spot"/>
    <s v="3627103-1458733802-200"/>
    <n v="0"/>
    <d v="2016-03-31T00:00:00"/>
    <x v="174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7103-1458733802-200] [23/03/2016 at 11:50:00]"/>
  </r>
  <r>
    <s v="3627094-1458733797-224"/>
    <s v="Spot"/>
    <s v="3627094-1458733797-224"/>
    <n v="0"/>
    <d v="2016-03-31T00:00:00"/>
    <x v="1748"/>
    <s v="224"/>
    <s v="SELL"/>
    <n v="133.03764895094673"/>
    <x v="0"/>
    <x v="3"/>
    <n v="18198.22"/>
    <s v="Deal"/>
    <m/>
    <s v="Original Amount [EUR 136.79], Merchant Amount [EUR 136.79], Customer Amount [JPY 18198.22], Status [APPROVED], Operation [DIRECT], UUID [3627094-1458733797-224] [23/03/2016 at 11:49:00]"/>
  </r>
  <r>
    <s v="3627088-1458733792-145"/>
    <s v="Spot"/>
    <s v="3627088-1458733792-145"/>
    <n v="0"/>
    <d v="2016-03-31T00:00:00"/>
    <x v="1749"/>
    <s v="145"/>
    <s v="SELL"/>
    <n v="9.9545918768167159"/>
    <x v="0"/>
    <x v="1"/>
    <n v="1267.1199999999999"/>
    <s v="Deal"/>
    <m/>
    <s v="Original Amount [EUR 127.29], Merchant Amount [EUR 127.29], Customer Amount [NOK 1267.12], Status [APPROVED], Operation [DIRECT], UUID [3627088-1458733792-145] [23/03/2016 at 11:49:00]"/>
  </r>
  <r>
    <s v="3627085-1458733784-200"/>
    <s v="Spot"/>
    <s v="3627085-1458733784-200"/>
    <n v="0"/>
    <d v="2016-03-31T00:00:00"/>
    <x v="1750"/>
    <s v="200"/>
    <s v="SELL"/>
    <n v="9.9548151528982203"/>
    <x v="0"/>
    <x v="1"/>
    <n v="218.11"/>
    <s v="Deal"/>
    <m/>
    <s v="Original Amount [EUR 21.91], Merchant Amount [EUR 21.91], Customer Amount [NOK 218.11], Status [APPROVED], Operation [STORED], UUID [3627085-1458733784-200] [23/03/2016 at 11:49:00]"/>
  </r>
  <r>
    <s v="3627151-1458733851-216"/>
    <s v="Spot"/>
    <s v="3627151-1458733851-216"/>
    <n v="0"/>
    <d v="2016-03-31T00:00:00"/>
    <x v="1751"/>
    <s v="216"/>
    <s v="SELL"/>
    <n v="3.3965738758029977"/>
    <x v="0"/>
    <x v="0"/>
    <n v="79.31"/>
    <s v="Deal"/>
    <m/>
    <s v="Original Amount [EUR 23.35], Merchant Amount [EUR 23.35], Customer Amount [TRY 79.31], Status [APPROVED], Operation [3DAUTH], UUID [3627151-1458733851-216] [23/03/2016 at 11:50:00]"/>
  </r>
  <r>
    <s v="3627145-1458733845-102"/>
    <s v="Spot"/>
    <s v="3627145-1458733845-102"/>
    <n v="0"/>
    <d v="2016-03-31T00:00:00"/>
    <x v="1752"/>
    <s v="102"/>
    <s v="SELL"/>
    <n v="3.3972350230414747"/>
    <x v="0"/>
    <x v="0"/>
    <n v="36.86"/>
    <s v="Deal"/>
    <m/>
    <s v="Original Amount [EUR 10.85], Merchant Amount [EUR 10.85], Customer Amount [TRY 36.86], Status [APPROVED], Operation [3DAUTH], UUID [3627145-1458733845-102] [23/03/2016 at 11:50:00]"/>
  </r>
  <r>
    <s v="3627073-1458733768-56"/>
    <s v="Spot"/>
    <s v="3627073-1458733768-56"/>
    <n v="0"/>
    <d v="2016-03-31T00:00:00"/>
    <x v="1753"/>
    <s v="56"/>
    <s v="SELL"/>
    <n v="3.3969335604770019"/>
    <x v="0"/>
    <x v="0"/>
    <n v="59.82"/>
    <s v="Deal"/>
    <m/>
    <s v="Original Amount [EUR 17.61], Merchant Amount [EUR 17.61], Customer Amount [TRY 59.82], Status [WAITING], Operation [3D], UUID [3627073-1458733768-56] [23/03/2016 at 11:49:00]"/>
  </r>
  <r>
    <s v="3627070-1458733761-107"/>
    <s v="Spot"/>
    <s v="3627070-1458733761-107"/>
    <n v="0"/>
    <d v="2016-03-31T00:00:00"/>
    <x v="1754"/>
    <s v="107"/>
    <s v="SELL"/>
    <n v="3.396707553260168"/>
    <x v="0"/>
    <x v="0"/>
    <n v="105.23"/>
    <s v="Deal"/>
    <m/>
    <s v="Original Amount [EUR 30.98], Merchant Amount [EUR 30.98], Customer Amount [TRY 105.23], Status [WAITING], Operation [3D], UUID [3627070-1458733761-107] [23/03/2016 at 11:49:00]"/>
  </r>
  <r>
    <s v="3627052-1458733730-119"/>
    <s v="Spot"/>
    <s v="3627052-1458733730-119"/>
    <n v="0"/>
    <d v="2016-03-31T00:00:00"/>
    <x v="1755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7052-1458733730-119] [23/03/2016 at 11:48:00]"/>
  </r>
  <r>
    <s v="3627049-1458733726-101"/>
    <s v="Spot"/>
    <s v="3627049-1458733726-101"/>
    <n v="0"/>
    <d v="2016-03-31T00:00:00"/>
    <x v="1756"/>
    <s v="101"/>
    <s v="SELL"/>
    <n v="3.3975"/>
    <x v="0"/>
    <x v="0"/>
    <n v="27.18"/>
    <s v="Deal"/>
    <m/>
    <s v="Original Amount [EUR 8], Merchant Amount [EUR 8], Customer Amount [TRY 27.18], Status [APPROVED], Operation [3DAUTH], UUID [3627049-1458733726-101] [23/03/2016 at 11:48:00]"/>
  </r>
  <r>
    <s v="3627046-1458733718-216"/>
    <s v="Spot"/>
    <s v="3627046-1458733718-216"/>
    <n v="0"/>
    <d v="2016-03-31T00:00:00"/>
    <x v="1757"/>
    <s v="216"/>
    <s v="SELL"/>
    <n v="3.3972477064220183"/>
    <x v="0"/>
    <x v="0"/>
    <n v="37.03"/>
    <s v="Deal"/>
    <m/>
    <s v="Original Amount [EUR 10.9], Merchant Amount [EUR 10.9], Customer Amount [TRY 37.03], Status [APPROVED], Operation [3DAUTH], UUID [3627046-1458733718-216] [23/03/2016 at 11:48:00]"/>
  </r>
  <r>
    <s v="3627025-1458733644-199"/>
    <s v="Spot"/>
    <s v="3627025-1458733644-199"/>
    <n v="0"/>
    <d v="2016-03-31T00:00:00"/>
    <x v="1758"/>
    <s v="199"/>
    <s v="SELL"/>
    <n v="9.96676891615542"/>
    <x v="0"/>
    <x v="1"/>
    <n v="194.95"/>
    <s v="Deal"/>
    <m/>
    <s v="Original Amount [EUR 19.56], Merchant Amount [EUR 19.56], Customer Amount [NOK 194.95], Status [APPROVED], Operation [DIRECT], UUID [3627025-1458733644-199] [23/03/2016 at 11:47:00]"/>
  </r>
  <r>
    <s v="3627016-1458733633-56"/>
    <s v="Spot"/>
    <s v="3627016-1458733633-56"/>
    <n v="0"/>
    <d v="2016-03-31T00:00:00"/>
    <x v="1759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7016-1458733633-56] [23/03/2016 at 11:47:00]"/>
  </r>
  <r>
    <s v="3626995-1458733599-199"/>
    <s v="Spot"/>
    <s v="3626995-1458733599-199"/>
    <n v="0"/>
    <d v="2016-03-31T00:00:00"/>
    <x v="1760"/>
    <s v="199"/>
    <s v="SELL"/>
    <n v="9.9664058904739985"/>
    <x v="0"/>
    <x v="1"/>
    <n v="216.57"/>
    <s v="Deal"/>
    <m/>
    <s v="Original Amount [EUR 21.73], Merchant Amount [EUR 21.73], Customer Amount [NOK 216.57], Status [APPROVED], Operation [DIRECT], UUID [3626995-1458733599-199] [23/03/2016 at 11:46:00]"/>
  </r>
  <r>
    <s v="3627034-1458733660-119"/>
    <s v="Spot"/>
    <s v="3627034-1458733660-119"/>
    <n v="0"/>
    <d v="2016-03-31T00:00:00"/>
    <x v="1761"/>
    <s v="119"/>
    <s v="SELL"/>
    <n v="9.9664000000000001"/>
    <x v="0"/>
    <x v="1"/>
    <n v="498.32"/>
    <s v="Deal"/>
    <m/>
    <s v="Original Amount [EUR 50], Merchant Amount [EUR 50], Customer Amount [NOK 498.32], Status [APPROVED], Operation [3DAUTH], UUID [3627034-1458733660-119] [23/03/2016 at 11:47:00]"/>
  </r>
  <r>
    <s v="3626998-1458733607-145"/>
    <s v="Spot"/>
    <s v="3626998-1458733607-145"/>
    <n v="0"/>
    <d v="2016-03-31T00:00:00"/>
    <x v="1762"/>
    <s v="145"/>
    <s v="SELL"/>
    <n v="1.5435897435897434"/>
    <x v="0"/>
    <x v="2"/>
    <n v="210.7"/>
    <s v="Deal"/>
    <m/>
    <s v="Original Amount [EUR 136.5], Merchant Amount [EUR 136.5], Customer Amount [CAD 210.7], Status [APPROVED], Operation [3DAUTH], UUID [3626998-1458733607-145] [23/03/2016 at 11:46:00]"/>
  </r>
  <r>
    <s v="3626986-1458733586-107"/>
    <s v="Spot"/>
    <s v="3626986-1458733586-107"/>
    <n v="0"/>
    <d v="2016-03-31T00:00:00"/>
    <x v="1763"/>
    <s v="107"/>
    <s v="SELL"/>
    <n v="3.3970588235294117"/>
    <x v="0"/>
    <x v="0"/>
    <n v="94.71"/>
    <s v="Deal"/>
    <m/>
    <s v="Original Amount [EUR 27.88], Merchant Amount [EUR 27.88], Customer Amount [TRY 94.71], Status [APPROVED], Operation [3DAUTH], UUID [3626986-1458733586-107] [23/03/2016 at 11:46:00]"/>
  </r>
  <r>
    <s v="3626962-1458733556-126"/>
    <s v="Spot"/>
    <s v="3626962-1458733556-126"/>
    <n v="0"/>
    <d v="2016-03-31T00:00:00"/>
    <x v="1764"/>
    <s v="126"/>
    <s v="SELL"/>
    <n v="9.9663414634146346"/>
    <x v="0"/>
    <x v="1"/>
    <n v="204.31"/>
    <s v="Deal"/>
    <m/>
    <s v="Original Amount [EUR 20.5], Merchant Amount [EUR 20.5], Customer Amount [NOK 204.31], Status [APPROVED], Operation [DIRECT], UUID [3626962-1458733556-126] [23/03/2016 at 11:45:00]"/>
  </r>
  <r>
    <s v="3626947-1458733547-199"/>
    <s v="Spot"/>
    <s v="3626947-1458733547-199"/>
    <n v="0"/>
    <d v="2016-03-31T00:00:00"/>
    <x v="1765"/>
    <s v="199"/>
    <s v="SELL"/>
    <n v="9.9665541577170895"/>
    <x v="0"/>
    <x v="1"/>
    <n v="324.81"/>
    <s v="Deal"/>
    <m/>
    <s v="Original Amount [EUR 32.59], Merchant Amount [EUR 32.59], Customer Amount [NOK 324.81], Status [APPROVED], Operation [DIRECT], UUID [3626947-1458733547-199] [23/03/2016 at 11:45:00]"/>
  </r>
  <r>
    <s v="3626941-1458733538-199"/>
    <s v="Spot"/>
    <s v="3626941-1458733538-199"/>
    <n v="0"/>
    <d v="2016-03-31T00:00:00"/>
    <x v="1766"/>
    <s v="199"/>
    <s v="SELL"/>
    <n v="9.9663107511045652"/>
    <x v="0"/>
    <x v="1"/>
    <n v="1082.74"/>
    <s v="Deal"/>
    <m/>
    <s v="Original Amount [EUR 108.64], Merchant Amount [EUR 108.64], Customer Amount [NOK 1082.74], Status [APPROVED], Operation [DIRECT], UUID [3626941-1458733538-199] [23/03/2016 at 11:45:00]"/>
  </r>
  <r>
    <s v="3626989-1458733586-56"/>
    <s v="Spot"/>
    <s v="3626989-1458733586-56"/>
    <n v="0"/>
    <d v="2016-03-31T00:00:00"/>
    <x v="1767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6989-1458733586-56] [23/03/2016 at 11:46:00]"/>
  </r>
  <r>
    <s v="3626911-1458733494-119"/>
    <s v="Spot"/>
    <s v="3626911-1458733494-119"/>
    <n v="0"/>
    <d v="2016-03-31T00:00:00"/>
    <x v="1768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911-1458733494-119] [23/03/2016 at 11:44:00]"/>
  </r>
  <r>
    <s v="3626908-1458733494-187"/>
    <s v="Spot"/>
    <s v="3626908-1458733494-187"/>
    <n v="0"/>
    <d v="2016-03-31T00:00:00"/>
    <x v="1769"/>
    <s v="187"/>
    <s v="SELL"/>
    <n v="9.9662885948330189"/>
    <x v="0"/>
    <x v="1"/>
    <n v="316.33"/>
    <s v="Deal"/>
    <m/>
    <s v="Original Amount [EUR 31.74], Merchant Amount [EUR 31.74], Customer Amount [NOK 316.33], Status [APPROVED], Operation [DIRECT], UUID [3626908-1458733494-187] [23/03/2016 at 11:44:00]"/>
  </r>
  <r>
    <s v="3626902-1458733490-56"/>
    <s v="Spot"/>
    <s v="3626902-1458733490-56"/>
    <n v="0"/>
    <d v="2016-03-31T00:00:00"/>
    <x v="1770"/>
    <s v="56"/>
    <s v="SELL"/>
    <n v="3.3972517176764518"/>
    <x v="0"/>
    <x v="0"/>
    <n v="54.39"/>
    <s v="Deal"/>
    <m/>
    <s v="Original Amount [EUR 16.01], Merchant Amount [EUR 16.01], Customer Amount [TRY 54.39], Status [WAITING], Operation [3D], UUID [3626902-1458733490-56] [23/03/2016 at 11:44:00]"/>
  </r>
  <r>
    <s v="3626974-1458733574-101"/>
    <s v="Spot"/>
    <s v="3626974-1458733574-101"/>
    <n v="0"/>
    <d v="2016-03-31T00:00:00"/>
    <x v="1771"/>
    <s v="101"/>
    <s v="SELL"/>
    <n v="3.3975"/>
    <x v="0"/>
    <x v="0"/>
    <n v="27.18"/>
    <s v="Deal"/>
    <m/>
    <s v="Original Amount [EUR 8], Merchant Amount [EUR 8], Customer Amount [TRY 27.18], Status [APPROVED], Operation [3DAUTH], UUID [3626974-1458733574-101] [23/03/2016 at 11:46:00]"/>
  </r>
  <r>
    <s v="3626893-1458733485-124"/>
    <s v="Spot"/>
    <s v="3626893-1458733485-124"/>
    <n v="0"/>
    <d v="2016-03-31T00:00:00"/>
    <x v="1772"/>
    <s v="124"/>
    <s v="SELL"/>
    <n v="9.9665236051502148"/>
    <x v="0"/>
    <x v="1"/>
    <n v="116.11"/>
    <s v="Deal"/>
    <m/>
    <s v="Original Amount [EUR 11.65], Merchant Amount [EUR 11.65], Customer Amount [NOK 116.11], Status [APPROVED], Operation [DIRECT], UUID [3626893-1458733485-124] [23/03/2016 at 11:44:00]"/>
  </r>
  <r>
    <s v="3626884-1458733470-256"/>
    <s v="Spot"/>
    <s v="3626884-1458733470-256"/>
    <n v="0"/>
    <d v="2016-03-31T00:00:00"/>
    <x v="1773"/>
    <s v="256"/>
    <s v="SELL"/>
    <n v="3.3907455012853469"/>
    <x v="0"/>
    <x v="0"/>
    <n v="26.38"/>
    <s v="Deal"/>
    <m/>
    <s v="Original Amount [TRY 25], Merchant Amount [EUR 7.78], Customer Amount [TRY 26.38], Status [WAITING], Operation [3D], UUID [3626884-1458733470-256] [23/03/2016 at 11:44:00]"/>
  </r>
  <r>
    <s v="3626905-1458733492-203"/>
    <s v="Spot"/>
    <s v="3626905-1458733492-203"/>
    <n v="0"/>
    <d v="2016-03-31T00:00:00"/>
    <x v="1774"/>
    <s v="203"/>
    <s v="SELL"/>
    <n v="3.3972903225806452"/>
    <x v="0"/>
    <x v="0"/>
    <n v="263.29000000000002"/>
    <s v="Deal"/>
    <m/>
    <s v="Original Amount [EUR 77.5], Merchant Amount [EUR 77.5], Customer Amount [TRY 263.29], Status [APPROVED], Operation [3DAUTH], UUID [3626905-1458733492-203] [23/03/2016 at 11:44:00]"/>
  </r>
  <r>
    <s v="3626875-1458733464-125"/>
    <s v="Spot"/>
    <s v="3626875-1458733464-125"/>
    <n v="0"/>
    <d v="2016-03-31T00:00:00"/>
    <x v="1775"/>
    <s v="125"/>
    <s v="SELL"/>
    <n v="132.83241428571429"/>
    <x v="0"/>
    <x v="3"/>
    <n v="92982.69"/>
    <s v="Deal"/>
    <m/>
    <s v="Original Amount [EUR 700], Merchant Amount [EUR 700], Customer Amount [JPY 92982.69], Status [APPROVED], Operation [DIRECT], UUID [3626875-1458733464-125] [23/03/2016 at 11:44:00]"/>
  </r>
  <r>
    <s v="3626863-1458733415-187"/>
    <s v="Spot"/>
    <s v="3626863-1458733415-187"/>
    <n v="0"/>
    <d v="2016-03-31T00:00:00"/>
    <x v="1776"/>
    <s v="187"/>
    <s v="SELL"/>
    <n v="9.9663473657675823"/>
    <x v="0"/>
    <x v="1"/>
    <n v="790.73"/>
    <s v="Deal"/>
    <m/>
    <s v="Original Amount [EUR 79.34], Merchant Amount [EUR 79.34], Customer Amount [NOK 790.73], Status [APPROVED], Operation [DIRECT], UUID [3626863-1458733415-187] [23/03/2016 at 11:43:00]"/>
  </r>
  <r>
    <s v="3626860-1458733415-238"/>
    <s v="Spot"/>
    <s v="3626860-1458733415-238"/>
    <n v="0"/>
    <d v="2016-03-31T00:00:00"/>
    <x v="177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6860-1458733415-238] [23/03/2016 at 11:43:00]"/>
  </r>
  <r>
    <s v="3626857-1458733406-126"/>
    <s v="Spot"/>
    <s v="3626857-1458733406-126"/>
    <n v="0"/>
    <d v="2016-03-31T00:00:00"/>
    <x v="1778"/>
    <s v="126"/>
    <s v="SELL"/>
    <n v="9.9665040650406507"/>
    <x v="0"/>
    <x v="1"/>
    <n v="306.47000000000003"/>
    <s v="Deal"/>
    <m/>
    <s v="Original Amount [EUR 30.75], Merchant Amount [EUR 30.75], Customer Amount [NOK 306.47], Status [APPROVED], Operation [DIRECT], UUID [3626857-1458733406-126] [23/03/2016 at 11:43:00]"/>
  </r>
  <r>
    <s v="3626842-1458733377-119"/>
    <s v="Spot"/>
    <s v="3626842-1458733377-119"/>
    <n v="0"/>
    <d v="2016-03-31T00:00:00"/>
    <x v="1779"/>
    <s v="119"/>
    <s v="SELL"/>
    <n v="9.9664000000000001"/>
    <x v="0"/>
    <x v="1"/>
    <n v="249.16"/>
    <s v="Deal"/>
    <m/>
    <s v="Original Amount [EUR 25], Merchant Amount [EUR 25], Customer Amount [NOK 249.16], Status [APPROVED], Operation [DIRECT], UUID [3626842-1458733377-119] [23/03/2016 at 11:42:00]"/>
  </r>
  <r>
    <s v="3626839-1458733376-224"/>
    <s v="Spot"/>
    <s v="3626839-1458733376-224"/>
    <n v="0"/>
    <d v="2016-03-31T00:00:00"/>
    <x v="1780"/>
    <s v="224"/>
    <s v="SELL"/>
    <n v="9.9662770822746811"/>
    <x v="0"/>
    <x v="1"/>
    <n v="2157.4"/>
    <s v="Deal"/>
    <m/>
    <s v="Original Amount [EUR 216.47], Merchant Amount [EUR 216.47], Customer Amount [NOK 2157.4], Status [APPROVED], Operation [DIRECT], UUID [3626839-1458733376-224] [23/03/2016 at 11:42:00]"/>
  </r>
  <r>
    <s v="3626815-1458733360-199"/>
    <s v="Spot"/>
    <s v="3626815-1458733360-199"/>
    <n v="0"/>
    <d v="2016-03-31T00:00:00"/>
    <x v="1781"/>
    <s v="199"/>
    <s v="SELL"/>
    <n v="9.9663379355687063"/>
    <x v="0"/>
    <x v="1"/>
    <n v="757.94"/>
    <s v="Deal"/>
    <m/>
    <s v="Original Amount [EUR 76.05], Merchant Amount [EUR 76.05], Customer Amount [NOK 757.94], Status [APPROVED], Operation [DIRECT], UUID [3626815-1458733360-199] [23/03/2016 at 11:42:00]"/>
  </r>
  <r>
    <s v="3626845-1458733378-56"/>
    <s v="Spot"/>
    <s v="3626845-1458733378-56"/>
    <n v="0"/>
    <d v="2016-03-31T00:00:00"/>
    <x v="1782"/>
    <s v="56"/>
    <s v="SELL"/>
    <n v="3.397278911564626"/>
    <x v="0"/>
    <x v="0"/>
    <n v="99.88"/>
    <s v="Deal"/>
    <m/>
    <s v="Original Amount [EUR 29.4], Merchant Amount [EUR 29.4], Customer Amount [TRY 99.88], Status [APPROVED], Operation [3DAUTH], UUID [3626845-1458733378-56] [23/03/2016 at 11:42:00]"/>
  </r>
  <r>
    <s v="3626803-1458733341-224"/>
    <s v="Spot"/>
    <s v="3626803-1458733341-224"/>
    <n v="0"/>
    <d v="2016-03-31T00:00:00"/>
    <x v="1783"/>
    <s v="224"/>
    <s v="SELL"/>
    <n v="9.9662863070539416"/>
    <x v="0"/>
    <x v="1"/>
    <n v="2690.1"/>
    <s v="Deal"/>
    <m/>
    <s v="Original Amount [EUR 269.92], Merchant Amount [EUR 269.92], Customer Amount [NOK 2690.1], Status [APPROVED], Operation [DIRECT], UUID [3626803-1458733341-224] [23/03/2016 at 11:42:00]"/>
  </r>
  <r>
    <s v="3626827-1458733364-107"/>
    <s v="Spot"/>
    <s v="3626827-1458733364-107"/>
    <n v="0"/>
    <d v="2016-03-31T00:00:00"/>
    <x v="1784"/>
    <s v="107"/>
    <s v="SELL"/>
    <n v="3.3976759199483539"/>
    <x v="0"/>
    <x v="0"/>
    <n v="52.63"/>
    <s v="Deal"/>
    <m/>
    <s v="Original Amount [EUR 15.49], Merchant Amount [EUR 15.49], Customer Amount [TRY 52.63], Status [APPROVED], Operation [3DAUTH], UUID [3626827-1458733364-107] [23/03/2016 at 11:42:00]"/>
  </r>
  <r>
    <s v="3626836-1458733370-216"/>
    <s v="Spot"/>
    <s v="3626836-1458733370-216"/>
    <n v="0"/>
    <d v="2016-03-31T00:00:00"/>
    <x v="1785"/>
    <s v="216"/>
    <s v="SELL"/>
    <n v="3.3973658849983943"/>
    <x v="0"/>
    <x v="0"/>
    <n v="105.76"/>
    <s v="Deal"/>
    <m/>
    <s v="Original Amount [EUR 31.13], Merchant Amount [EUR 31.13], Customer Amount [TRY 105.76], Status [APPROVED], Operation [3DAUTH], UUID [3626836-1458733370-216] [23/03/2016 at 11:42:00]"/>
  </r>
  <r>
    <s v="3626788-1458733327-126"/>
    <s v="Spot"/>
    <s v="3626788-1458733327-126"/>
    <n v="0"/>
    <d v="2016-03-31T00:00:00"/>
    <x v="1786"/>
    <s v="126"/>
    <s v="SELL"/>
    <n v="9.9663414634146346"/>
    <x v="0"/>
    <x v="1"/>
    <n v="408.62"/>
    <s v="Deal"/>
    <m/>
    <s v="Original Amount [EUR 41], Merchant Amount [EUR 41], Customer Amount [NOK 408.62], Status [APPROVED], Operation [DIRECT], UUID [3626788-1458733327-126] [23/03/2016 at 11:42:00]"/>
  </r>
  <r>
    <s v="3626821-1458733362-264"/>
    <s v="Spot"/>
    <s v="3626821-1458733362-264"/>
    <n v="0"/>
    <d v="2016-03-31T00:00:00"/>
    <x v="1787"/>
    <s v="264"/>
    <s v="SELL"/>
    <n v="3.3879254977520872"/>
    <x v="0"/>
    <x v="0"/>
    <n v="52.75"/>
    <s v="Deal"/>
    <m/>
    <s v="Original Amount [TRY 50], Merchant Amount [EUR 15.57], Customer Amount [TRY 52.75], Status [APPROVED], Operation [3DAUTH], UUID [3626821-1458733362-264] [23/03/2016 at 11:42:00]"/>
  </r>
  <r>
    <s v="3626758-1458733277-261"/>
    <s v="Spot"/>
    <s v="3626758-1458733277-261"/>
    <n v="0"/>
    <d v="2016-03-31T00:00:00"/>
    <x v="1788"/>
    <s v="261"/>
    <s v="SELL"/>
    <n v="9.9548145839825484"/>
    <x v="0"/>
    <x v="1"/>
    <n v="319.45"/>
    <s v="Deal"/>
    <m/>
    <s v="Original Amount [EUR 32.09], Merchant Amount [EUR 32.09], Customer Amount [NOK 319.45], Status [APPROVED], Operation [DIRECT], UUID [3626758-1458733277-261] [23/03/2016 at 11:41:00]"/>
  </r>
  <r>
    <s v="3626752-1458733268-134"/>
    <s v="Spot"/>
    <s v="3626752-1458733268-134"/>
    <n v="0"/>
    <d v="2016-03-31T00:00:00"/>
    <x v="1789"/>
    <s v="134"/>
    <s v="BUY"/>
    <n v="133.86895526857157"/>
    <x v="0"/>
    <x v="3"/>
    <n v="241423.29"/>
    <s v="Deal"/>
    <m/>
    <s v="Original Amount [EUR 1803.43], Merchant Amount [EUR 1803.43], Customer Amount [JPY 241423.29], Status [APPROVED], Operation [REFUND], UUID [3626752-1458733268-134] [23/03/2016 at 11:41:00]"/>
  </r>
  <r>
    <s v="3626749-1458733262-134"/>
    <s v="Spot"/>
    <s v="3626749-1458733262-134"/>
    <n v="0"/>
    <d v="2016-03-31T00:00:00"/>
    <x v="1790"/>
    <s v="134"/>
    <s v="BUY"/>
    <n v="133.96738150115243"/>
    <x v="0"/>
    <x v="3"/>
    <n v="320846.52"/>
    <s v="Deal"/>
    <m/>
    <s v="Original Amount [EUR 2394.96], Merchant Amount [EUR 2394.96], Customer Amount [JPY 320846.52], Status [APPROVED], Operation [REFUND], UUID [3626749-1458733262-134] [23/03/2016 at 11:41:00]"/>
  </r>
  <r>
    <s v="3626743-1458733254-224"/>
    <s v="Spot"/>
    <s v="3626743-1458733254-224"/>
    <n v="0"/>
    <d v="2016-03-31T00:00:00"/>
    <x v="1791"/>
    <s v="224"/>
    <s v="SELL"/>
    <n v="9.9546247818499118"/>
    <x v="0"/>
    <x v="1"/>
    <n v="969.68"/>
    <s v="Deal"/>
    <m/>
    <s v="Original Amount [EUR 97.41], Merchant Amount [EUR 97.41], Customer Amount [NOK 969.68], Status [APPROVED], Operation [DIRECT], UUID [3626743-1458733254-224] [23/03/2016 at 11:40:00]"/>
  </r>
  <r>
    <s v="3626737-1458733238-224"/>
    <s v="Spot"/>
    <s v="3626737-1458733238-224"/>
    <n v="0"/>
    <d v="2016-03-31T00:00:00"/>
    <x v="1792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6737-1458733238-224] [23/03/2016 at 11:40:00]"/>
  </r>
  <r>
    <s v="3626734-1458733225-216"/>
    <s v="Spot"/>
    <s v="3626734-1458733225-216"/>
    <n v="0"/>
    <d v="2016-03-31T00:00:00"/>
    <x v="179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734-1458733225-216] [23/03/2016 at 11:40:00]"/>
  </r>
  <r>
    <s v="3626746-1458733256-216"/>
    <s v="Spot"/>
    <s v="3626746-1458733256-216"/>
    <n v="0"/>
    <d v="2016-03-31T00:00:00"/>
    <x v="1794"/>
    <s v="216"/>
    <s v="SELL"/>
    <n v="3.3976240391334729"/>
    <x v="0"/>
    <x v="0"/>
    <n v="48.62"/>
    <s v="Deal"/>
    <m/>
    <s v="Original Amount [EUR 14.31], Merchant Amount [EUR 14.31], Customer Amount [TRY 48.62], Status [APPROVED], Operation [3DAUTH], UUID [3626746-1458733256-216] [23/03/2016 at 11:40:00]"/>
  </r>
  <r>
    <s v="3626728-1458733214-101"/>
    <s v="Spot"/>
    <s v="3626728-1458733214-101"/>
    <n v="0"/>
    <d v="2016-03-31T00:00:00"/>
    <x v="1795"/>
    <s v="101"/>
    <s v="SELL"/>
    <n v="3.3972424557752343"/>
    <x v="0"/>
    <x v="0"/>
    <n v="261.18"/>
    <s v="Deal"/>
    <m/>
    <s v="Original Amount [EUR 76.88], Merchant Amount [EUR 76.88], Customer Amount [TRY 261.18], Status [APPROVED], Operation [3DAUTH], UUID [3626728-1458733214-101] [23/03/2016 at 11:40:00]"/>
  </r>
  <r>
    <s v="3626707-1458733174-126"/>
    <s v="Spot"/>
    <s v="3626707-1458733174-126"/>
    <n v="0"/>
    <d v="2016-03-31T00:00:00"/>
    <x v="1796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6707-1458733174-126] [23/03/2016 at 11:39:00]"/>
  </r>
  <r>
    <s v="3626701-1458733165-199"/>
    <s v="Spot"/>
    <s v="3626701-1458733165-199"/>
    <n v="0"/>
    <d v="2016-03-31T00:00:00"/>
    <x v="1797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6701-1458733165-199] [23/03/2016 at 11:39:00]"/>
  </r>
  <r>
    <s v="3626719-1458733198-216"/>
    <s v="Spot"/>
    <s v="3626719-1458733198-216"/>
    <n v="0"/>
    <d v="2016-03-31T00:00:00"/>
    <x v="179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6719-1458733198-216] [23/03/2016 at 11:39:00]"/>
  </r>
  <r>
    <s v="3626668-1458733108-101"/>
    <s v="Spot"/>
    <s v="3626668-1458733108-101"/>
    <n v="0"/>
    <d v="2016-03-31T00:00:00"/>
    <x v="1799"/>
    <s v="101"/>
    <s v="SELL"/>
    <n v="3.391983016983017"/>
    <x v="0"/>
    <x v="0"/>
    <n v="271.63"/>
    <s v="Deal"/>
    <m/>
    <s v="Original Amount [EUR 80.08], Merchant Amount [EUR 80.08], Customer Amount [TRY 271.63], Status [WAITING], Operation [3D], UUID [3626668-1458733108-101] [23/03/2016 at 11:38:00]"/>
  </r>
  <r>
    <s v="3626653-1458733092-125"/>
    <s v="Spot"/>
    <s v="3626653-1458733092-125"/>
    <n v="0"/>
    <d v="2016-03-31T00:00:00"/>
    <x v="1800"/>
    <s v="125"/>
    <s v="SELL"/>
    <n v="9.9411000000000005"/>
    <x v="0"/>
    <x v="1"/>
    <n v="994.11"/>
    <s v="Deal"/>
    <m/>
    <s v="Original Amount [EUR 100], Merchant Amount [EUR 100], Customer Amount [NOK 994.11], Status [APPROVED], Operation [DIRECT], UUID [3626653-1458733092-125] [23/03/2016 at 11:38:00]"/>
  </r>
  <r>
    <s v="3626713-1458733184-101"/>
    <s v="Spot"/>
    <s v="3626713-1458733184-101"/>
    <n v="0"/>
    <d v="2016-03-31T00:00:00"/>
    <x v="1801"/>
    <s v="101"/>
    <s v="SELL"/>
    <n v="3.3919474116680361"/>
    <x v="0"/>
    <x v="0"/>
    <n v="41.28"/>
    <s v="Deal"/>
    <m/>
    <s v="Original Amount [EUR 12.17], Merchant Amount [EUR 12.17], Customer Amount [TRY 41.28], Status [APPROVED], Operation [3DAUTH], UUID [3626713-1458733184-101] [23/03/2016 at 11:39:00]"/>
  </r>
  <r>
    <s v="3626641-1458733087-145"/>
    <s v="Spot"/>
    <s v="3626641-1458733087-145"/>
    <n v="0"/>
    <d v="2016-03-31T00:00:00"/>
    <x v="1802"/>
    <s v="145"/>
    <s v="SELL"/>
    <n v="1.543150183150183"/>
    <x v="0"/>
    <x v="2"/>
    <n v="210.64"/>
    <s v="Deal"/>
    <m/>
    <s v="Original Amount [EUR 136.5], Merchant Amount [EUR 136.5], Customer Amount [CAD 210.64], Status [WAITING], Operation [3D], UUID [3626641-1458733087-145] [23/03/2016 at 11:38:00]"/>
  </r>
  <r>
    <s v="3626638-1458733087-216"/>
    <s v="Spot"/>
    <s v="3626638-1458733087-216"/>
    <n v="0"/>
    <d v="2016-03-31T00:00:00"/>
    <x v="1803"/>
    <s v="216"/>
    <s v="SELL"/>
    <n v="3.3919614147909964"/>
    <x v="0"/>
    <x v="0"/>
    <n v="105.49"/>
    <s v="Deal"/>
    <m/>
    <s v="Original Amount [EUR 31.1], Merchant Amount [EUR 31.1], Customer Amount [TRY 105.49], Status [WAITING], Operation [3D], UUID [3626638-1458733087-216] [23/03/2016 at 11:38:00]"/>
  </r>
  <r>
    <s v="3626674-1458733110-56"/>
    <s v="Spot"/>
    <s v="3626674-1458733110-56"/>
    <n v="0"/>
    <d v="2016-03-31T00:00:00"/>
    <x v="1804"/>
    <s v="56"/>
    <s v="SELL"/>
    <n v="3.3930288461538463"/>
    <x v="0"/>
    <x v="0"/>
    <n v="28.23"/>
    <s v="Deal"/>
    <m/>
    <s v="Original Amount [EUR 8.32], Merchant Amount [EUR 8.32], Customer Amount [TRY 28.23], Status [APPROVED], Operation [3DAUTH], UUID [3626674-1458733110-56] [23/03/2016 at 11:38:00]"/>
  </r>
  <r>
    <s v="3626665-1458733105-124"/>
    <s v="Spot"/>
    <s v="3626665-1458733105-124"/>
    <n v="0"/>
    <d v="2016-03-31T00:00:00"/>
    <x v="1805"/>
    <s v="124"/>
    <s v="SELL"/>
    <n v="9.9410731707317073"/>
    <x v="0"/>
    <x v="1"/>
    <n v="1018.96"/>
    <s v="Deal"/>
    <m/>
    <s v="Original Amount [EUR 102.5], Merchant Amount [EUR 102.5], Customer Amount [NOK 1018.96], Status [APPROVED], Operation [3DAUTH], UUID [3626665-1458733105-124] [23/03/2016 at 11:38:00]"/>
  </r>
  <r>
    <s v="3626623-1458733072-199"/>
    <s v="Spot"/>
    <s v="3626623-1458733072-199"/>
    <n v="0"/>
    <d v="2016-03-31T00:00:00"/>
    <x v="1806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6623-1458733072-199] [23/03/2016 at 11:37:00]"/>
  </r>
  <r>
    <s v="3626680-1458733116-56"/>
    <s v="Spot"/>
    <s v="3626680-1458733116-56"/>
    <n v="0"/>
    <d v="2016-03-31T00:00:00"/>
    <x v="1807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6680-1458733116-56] [23/03/2016 at 11:38:00]"/>
  </r>
  <r>
    <s v="3626629-1458733079-56"/>
    <s v="Spot"/>
    <s v="3626629-1458733079-56"/>
    <n v="0"/>
    <d v="2016-03-31T00:00:00"/>
    <x v="1808"/>
    <s v="56"/>
    <s v="SELL"/>
    <n v="3.3920169472627943"/>
    <x v="0"/>
    <x v="0"/>
    <n v="304.23"/>
    <s v="Deal"/>
    <m/>
    <s v="Original Amount [EUR 89.69], Merchant Amount [EUR 89.69], Customer Amount [TRY 304.23], Status [APPROVED], Operation [3DAUTH], UUID [3626629-1458733079-56] [23/03/2016 at 11:37:00]"/>
  </r>
  <r>
    <s v="3626605-1458733055-224"/>
    <s v="Spot"/>
    <s v="3626605-1458733055-224"/>
    <n v="0"/>
    <d v="2016-03-31T00:00:00"/>
    <x v="1809"/>
    <s v="224"/>
    <s v="SELL"/>
    <n v="133.03581871345031"/>
    <x v="0"/>
    <x v="3"/>
    <n v="1819.93"/>
    <s v="Deal"/>
    <m/>
    <s v="Original Amount [EUR 13.68], Merchant Amount [EUR 13.68], Customer Amount [JPY 1819.93], Status [APPROVED], Operation [DIRECT], UUID [3626605-1458733055-224] [23/03/2016 at 11:37:00]"/>
  </r>
  <r>
    <s v="3626656-1458733096-216"/>
    <s v="Spot"/>
    <s v="3626656-1458733096-216"/>
    <n v="0"/>
    <d v="2016-03-31T00:00:00"/>
    <x v="1810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6656-1458733096-216] [23/03/2016 at 11:38:00]"/>
  </r>
  <r>
    <s v="3626662-1458733104-107"/>
    <s v="Spot"/>
    <s v="3626662-1458733104-107"/>
    <n v="0"/>
    <d v="2016-03-31T00:00:00"/>
    <x v="1811"/>
    <s v="107"/>
    <s v="SELL"/>
    <n v="3.3921168875297316"/>
    <x v="0"/>
    <x v="0"/>
    <n v="99.83"/>
    <s v="Deal"/>
    <m/>
    <s v="Original Amount [EUR 29.43], Merchant Amount [EUR 29.43], Customer Amount [TRY 99.83], Status [APPROVED], Operation [3DAUTH], UUID [3626662-1458733104-107] [23/03/2016 at 11:38:00]"/>
  </r>
  <r>
    <s v="3626596-1458733050-261"/>
    <s v="Spot"/>
    <s v="3626596-1458733050-261"/>
    <n v="0"/>
    <d v="2016-03-31T00:00:00"/>
    <x v="1812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96-1458733050-261] [23/03/2016 at 11:37:00]"/>
  </r>
  <r>
    <s v="3626608-1458733056-56"/>
    <s v="Spot"/>
    <s v="3626608-1458733056-56"/>
    <n v="0"/>
    <d v="2016-03-31T00:00:00"/>
    <x v="1813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6608-1458733056-56] [23/03/2016 at 11:37:00]"/>
  </r>
  <r>
    <s v="3626566-1458733023-101"/>
    <s v="Spot"/>
    <s v="3626566-1458733023-101"/>
    <n v="0"/>
    <d v="2016-03-31T00:00:00"/>
    <x v="1814"/>
    <s v="101"/>
    <s v="SELL"/>
    <n v="3.3919474116680361"/>
    <x v="0"/>
    <x v="0"/>
    <n v="41.28"/>
    <s v="Deal"/>
    <m/>
    <s v="Original Amount [EUR 12.17], Merchant Amount [EUR 12.17], Customer Amount [TRY 41.28], Status [WAITING], Operation [3D], UUID [3626566-1458733023-101] [23/03/2016 at 11:37:00]"/>
  </r>
  <r>
    <s v="3626563-1458733021-119"/>
    <s v="Spot"/>
    <s v="3626563-1458733021-119"/>
    <n v="0"/>
    <d v="2016-03-31T00:00:00"/>
    <x v="1815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563-1458733021-119] [23/03/2016 at 11:37:00]"/>
  </r>
  <r>
    <s v="3626560-1458733020-119"/>
    <s v="Spot"/>
    <s v="3626560-1458733020-119"/>
    <n v="0"/>
    <d v="2016-03-31T00:00:00"/>
    <x v="181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560-1458733020-119] [23/03/2016 at 11:37:00]"/>
  </r>
  <r>
    <s v="3626578-1458733033-216"/>
    <s v="Spot"/>
    <s v="3626578-1458733033-216"/>
    <n v="0"/>
    <d v="2016-03-31T00:00:00"/>
    <x v="1817"/>
    <s v="216"/>
    <s v="SELL"/>
    <n v="3.3922087745839633"/>
    <x v="0"/>
    <x v="0"/>
    <n v="89.69"/>
    <s v="Deal"/>
    <m/>
    <s v="Original Amount [EUR 26.44], Merchant Amount [EUR 26.44], Customer Amount [TRY 89.69], Status [APPROVED], Operation [3DAUTH], UUID [3626578-1458733033-216] [23/03/2016 at 11:37:00]"/>
  </r>
  <r>
    <s v="3626581-1458733035-107"/>
    <s v="Spot"/>
    <s v="3626581-1458733035-107"/>
    <n v="0"/>
    <d v="2016-03-31T00:00:00"/>
    <x v="1818"/>
    <s v="107"/>
    <s v="SELL"/>
    <n v="3.3922807017543861"/>
    <x v="0"/>
    <x v="0"/>
    <n v="48.34"/>
    <s v="Deal"/>
    <m/>
    <s v="Original Amount [EUR 14.25], Merchant Amount [EUR 14.25], Customer Amount [TRY 48.34], Status [APPROVED], Operation [3DAUTH], UUID [3626581-1458733035-107] [23/03/2016 at 11:37:00]"/>
  </r>
  <r>
    <s v="3626587-1458733040-216"/>
    <s v="Spot"/>
    <s v="3626587-1458733040-216"/>
    <n v="0"/>
    <d v="2016-03-31T00:00:00"/>
    <x v="1819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6587-1458733040-216] [23/03/2016 at 11:37:00]"/>
  </r>
  <r>
    <s v="3626575-1458733031-102"/>
    <s v="Spot"/>
    <s v="3626575-1458733031-102"/>
    <n v="0"/>
    <d v="2016-03-31T00:00:00"/>
    <x v="1820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6575-1458733031-102] [23/03/2016 at 11:37:00]"/>
  </r>
  <r>
    <s v="3626539-1458733004-261"/>
    <s v="Spot"/>
    <s v="3626539-1458733004-261"/>
    <n v="0"/>
    <d v="2016-03-31T00:00:00"/>
    <x v="1821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6539-1458733004-261] [23/03/2016 at 11:36:00]"/>
  </r>
  <r>
    <s v="3626533-1458732990-179"/>
    <s v="Spot"/>
    <s v="3626533-1458732990-179"/>
    <n v="0"/>
    <d v="2016-03-31T00:00:00"/>
    <x v="1822"/>
    <s v="179"/>
    <s v="SELL"/>
    <n v="3.3920540997464075"/>
    <x v="0"/>
    <x v="0"/>
    <n v="200.64"/>
    <s v="Deal"/>
    <m/>
    <s v="Original Amount [EUR 59.15], Merchant Amount [EUR 59.15], Customer Amount [TRY 200.64], Status [APPROVED], Operation [3DAUTH], UUID [3626533-1458732990-179] [23/03/2016 at 11:36:00]"/>
  </r>
  <r>
    <s v="3626518-1458732955-119"/>
    <s v="Spot"/>
    <s v="3626518-1458732955-119"/>
    <n v="0"/>
    <d v="2016-03-31T00:00:00"/>
    <x v="1823"/>
    <s v="119"/>
    <s v="SELL"/>
    <n v="9.9664000000000001"/>
    <x v="0"/>
    <x v="1"/>
    <n v="498.32"/>
    <s v="Deal"/>
    <m/>
    <s v="Original Amount [EUR 50], Merchant Amount [EUR 50], Customer Amount [NOK 498.32], Status [APPROVED], Operation [DIRECT], UUID [3626518-1458732955-119] [23/03/2016 at 11:35:00]"/>
  </r>
  <r>
    <s v="3626530-1458732978-216"/>
    <s v="Spot"/>
    <s v="3626530-1458732978-216"/>
    <n v="0"/>
    <d v="2016-03-31T00:00:00"/>
    <x v="1824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530-1458732978-216] [23/03/2016 at 11:36:00]"/>
  </r>
  <r>
    <s v="3626509-1458732943-224"/>
    <s v="Spot"/>
    <s v="3626509-1458732943-224"/>
    <n v="0"/>
    <d v="2016-03-31T00:00:00"/>
    <x v="1825"/>
    <s v="224"/>
    <s v="SELL"/>
    <n v="132.83248800548319"/>
    <x v="0"/>
    <x v="3"/>
    <n v="9690.1299999999992"/>
    <s v="Deal"/>
    <m/>
    <s v="Original Amount [EUR 72.95], Merchant Amount [EUR 72.95], Customer Amount [JPY 9690.13], Status [APPROVED], Operation [DIRECT], UUID [3626509-1458732943-224] [23/03/2016 at 11:35:00]"/>
  </r>
  <r>
    <s v="3626506-1458732937-261"/>
    <s v="Spot"/>
    <s v="3626506-1458732937-261"/>
    <n v="0"/>
    <d v="2016-03-31T00:00:00"/>
    <x v="1826"/>
    <s v="261"/>
    <s v="SELL"/>
    <n v="9.966348850252384"/>
    <x v="0"/>
    <x v="1"/>
    <n v="533.1"/>
    <s v="Deal"/>
    <m/>
    <s v="Original Amount [EUR 53.49], Merchant Amount [EUR 53.49], Customer Amount [NOK 533.1], Status [APPROVED], Operation [DIRECT], UUID [3626506-1458732937-261] [23/03/2016 at 11:35:00]"/>
  </r>
  <r>
    <s v="3626527-1458732977-160"/>
    <s v="Spot"/>
    <s v="3626527-1458732977-160"/>
    <n v="0"/>
    <d v="2016-03-31T00:00:00"/>
    <x v="1827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6527-1458732977-160] [23/03/2016 at 11:36:00]"/>
  </r>
  <r>
    <s v="3626500-1458732928-199"/>
    <s v="Spot"/>
    <s v="3626500-1458732928-199"/>
    <n v="0"/>
    <d v="2016-03-31T00:00:00"/>
    <x v="1828"/>
    <s v="199"/>
    <s v="SELL"/>
    <n v="9.9668711656441715"/>
    <x v="0"/>
    <x v="1"/>
    <n v="162.46"/>
    <s v="Deal"/>
    <m/>
    <s v="Original Amount [EUR 16.3], Merchant Amount [EUR 16.3], Customer Amount [NOK 162.46], Status [APPROVED], Operation [DIRECT], UUID [3626500-1458732928-199] [23/03/2016 at 11:35:00]"/>
  </r>
  <r>
    <s v="3626521-1458732961-216"/>
    <s v="Spot"/>
    <s v="3626521-1458732961-216"/>
    <n v="0"/>
    <d v="2016-03-31T00:00:00"/>
    <x v="1829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6521-1458732961-216] [23/03/2016 at 11:36:00]"/>
  </r>
  <r>
    <s v="3626515-1458732952-56"/>
    <s v="Spot"/>
    <s v="3626515-1458732952-56"/>
    <n v="0"/>
    <d v="2016-03-31T00:00:00"/>
    <x v="1830"/>
    <s v="56"/>
    <s v="SELL"/>
    <n v="3.3966271080574639"/>
    <x v="0"/>
    <x v="0"/>
    <n v="54.38"/>
    <s v="Deal"/>
    <m/>
    <s v="Original Amount [EUR 16.01], Merchant Amount [EUR 16.01], Customer Amount [TRY 54.38], Status [APPROVED], Operation [3DAUTH], UUID [3626515-1458732952-56] [23/03/2016 at 11:35:00]"/>
  </r>
  <r>
    <s v="3626485-1458732913-224"/>
    <s v="Spot"/>
    <s v="3626485-1458732913-224"/>
    <n v="0"/>
    <d v="2016-03-31T00:00:00"/>
    <x v="1831"/>
    <s v="224"/>
    <s v="SELL"/>
    <n v="132.83333333333334"/>
    <x v="0"/>
    <x v="3"/>
    <n v="1211.44"/>
    <s v="Deal"/>
    <m/>
    <s v="Original Amount [EUR 9.12], Merchant Amount [EUR 9.12], Customer Amount [JPY 1211.44], Status [APPROVED], Operation [DIRECT], UUID [3626485-1458732913-224] [23/03/2016 at 11:35:00]"/>
  </r>
  <r>
    <s v="3626491-1458732918-216"/>
    <s v="Spot"/>
    <s v="3626491-1458732918-216"/>
    <n v="0"/>
    <d v="2016-03-31T00:00:00"/>
    <x v="1832"/>
    <s v="216"/>
    <s v="SELL"/>
    <n v="3.3966995285040724"/>
    <x v="0"/>
    <x v="0"/>
    <n v="158.49"/>
    <s v="Deal"/>
    <m/>
    <s v="Original Amount [EUR 46.66], Merchant Amount [EUR 46.66], Customer Amount [TRY 158.49], Status [APPROVED], Operation [3DAUTH], UUID [3626491-1458732918-216] [23/03/2016 at 11:35:00]"/>
  </r>
  <r>
    <s v="3626452-1458732846-224"/>
    <s v="Spot"/>
    <s v="3626452-1458732846-224"/>
    <n v="0"/>
    <d v="2016-03-31T00:00:00"/>
    <x v="1833"/>
    <s v="224"/>
    <s v="SELL"/>
    <n v="9.9662929840030223"/>
    <x v="0"/>
    <x v="1"/>
    <n v="3956.12"/>
    <s v="Deal"/>
    <m/>
    <s v="Original Amount [EUR 396.95], Merchant Amount [EUR 396.95], Customer Amount [NOK 3956.12], Status [APPROVED], Operation [DIRECT], UUID [3626452-1458732846-224] [23/03/2016 at 11:34:00]"/>
  </r>
  <r>
    <s v="3626449-1458732843-224"/>
    <s v="Spot"/>
    <s v="3626449-1458732843-224"/>
    <n v="0"/>
    <d v="2016-03-31T00:00:00"/>
    <x v="1834"/>
    <s v="224"/>
    <s v="SELL"/>
    <n v="9.9663043478260871"/>
    <x v="0"/>
    <x v="1"/>
    <n v="183.38"/>
    <s v="Deal"/>
    <m/>
    <s v="Original Amount [EUR 18.4], Merchant Amount [EUR 18.4], Customer Amount [NOK 183.38], Status [APPROVED], Operation [DIRECT], UUID [3626449-1458732843-224] [23/03/2016 at 11:34:00]"/>
  </r>
  <r>
    <s v="3626464-1458732861-107"/>
    <s v="Spot"/>
    <s v="3626464-1458732861-107"/>
    <n v="0"/>
    <d v="2016-03-31T00:00:00"/>
    <x v="1835"/>
    <s v="107"/>
    <s v="SELL"/>
    <n v="3.3968253968253967"/>
    <x v="0"/>
    <x v="0"/>
    <n v="126.26"/>
    <s v="Deal"/>
    <m/>
    <s v="Original Amount [EUR 37.17], Merchant Amount [EUR 37.17], Customer Amount [TRY 126.26], Status [APPROVED], Operation [3DAUTH], UUID [3626464-1458732861-107] [23/03/2016 at 11:34:00]"/>
  </r>
  <r>
    <s v="3626431-1458732815-241"/>
    <s v="Spot"/>
    <s v="3626431-1458732815-241"/>
    <n v="0"/>
    <d v="2016-03-31T00:00:00"/>
    <x v="1836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6431-1458732815-241] [23/03/2016 at 11:33:00]"/>
  </r>
  <r>
    <s v="3626473-1458732882-216"/>
    <s v="Spot"/>
    <s v="3626473-1458732882-216"/>
    <n v="0"/>
    <d v="2016-03-31T00:00:00"/>
    <x v="1837"/>
    <s v="216"/>
    <s v="SELL"/>
    <n v="3.3971428571428572"/>
    <x v="0"/>
    <x v="0"/>
    <n v="47.56"/>
    <s v="Deal"/>
    <m/>
    <s v="Original Amount [EUR 14], Merchant Amount [EUR 14], Customer Amount [TRY 47.56], Status [APPROVED], Operation [3DAUTH], UUID [3626473-1458732882-216] [23/03/2016 at 11:34:00]"/>
  </r>
  <r>
    <s v="3626458-1458732853-264"/>
    <s v="Spot"/>
    <s v="3626458-1458732853-264"/>
    <n v="0"/>
    <d v="2016-03-31T00:00:00"/>
    <x v="1838"/>
    <s v="264"/>
    <s v="SELL"/>
    <n v="3.3922829581993565"/>
    <x v="0"/>
    <x v="0"/>
    <n v="52.75"/>
    <s v="Deal"/>
    <m/>
    <s v="Original Amount [TRY 50], Merchant Amount [EUR 15.55], Customer Amount [TRY 52.75], Status [APPROVED], Operation [3DAUTH], UUID [3626458-1458732853-264] [23/03/2016 at 11:34:00]"/>
  </r>
  <r>
    <s v="3626446-1458732840-216"/>
    <s v="Spot"/>
    <s v="3626446-1458732840-216"/>
    <n v="0"/>
    <d v="2016-03-31T00:00:00"/>
    <x v="1839"/>
    <s v="216"/>
    <s v="SELL"/>
    <n v="3.3969816272965883"/>
    <x v="0"/>
    <x v="0"/>
    <n v="51.77"/>
    <s v="Deal"/>
    <m/>
    <s v="Original Amount [EUR 15.24], Merchant Amount [EUR 15.24], Customer Amount [TRY 51.77], Status [APPROVED], Operation [3DAUTH], UUID [3626446-1458732840-216] [23/03/2016 at 11:34:00]"/>
  </r>
  <r>
    <s v="3626437-1458732826-107"/>
    <s v="Spot"/>
    <s v="3626437-1458732826-107"/>
    <n v="0"/>
    <d v="2016-03-31T00:00:00"/>
    <x v="1840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6437-1458732826-107] [23/03/2016 at 11:33:00]"/>
  </r>
  <r>
    <s v="3626407-1458732793-126"/>
    <s v="Spot"/>
    <s v="3626407-1458732793-126"/>
    <n v="0"/>
    <d v="2016-03-31T00:00:00"/>
    <x v="1841"/>
    <s v="126"/>
    <s v="SELL"/>
    <n v="9.9663111342351733"/>
    <x v="0"/>
    <x v="1"/>
    <n v="766.21"/>
    <s v="Deal"/>
    <m/>
    <s v="Original Amount [EUR 76.88], Merchant Amount [EUR 76.88], Customer Amount [NOK 766.21], Status [APPROVED], Operation [DIRECT], UUID [3626407-1458732793-126] [23/03/2016 at 11:33:00]"/>
  </r>
  <r>
    <s v="3626398-1458732780-224"/>
    <s v="Spot"/>
    <s v="3626398-1458732780-224"/>
    <n v="0"/>
    <d v="2016-03-31T00:00:00"/>
    <x v="1842"/>
    <s v="224"/>
    <s v="SELL"/>
    <n v="133.03764429086098"/>
    <x v="0"/>
    <x v="3"/>
    <n v="36188.9"/>
    <s v="Deal"/>
    <m/>
    <s v="Original Amount [EUR 272.02], Merchant Amount [EUR 272.02], Customer Amount [JPY 36188.9], Status [APPROVED], Operation [DIRECT], UUID [3626398-1458732780-224] [23/03/2016 at 11:33:00]"/>
  </r>
  <r>
    <s v="3626404-1458732791-216"/>
    <s v="Spot"/>
    <s v="3626404-1458732791-216"/>
    <n v="0"/>
    <d v="2016-03-31T00:00:00"/>
    <x v="1843"/>
    <s v="216"/>
    <s v="SELL"/>
    <n v="3.397106109324759"/>
    <x v="0"/>
    <x v="0"/>
    <n v="63.39"/>
    <s v="Deal"/>
    <m/>
    <s v="Original Amount [EUR 18.66], Merchant Amount [EUR 18.66], Customer Amount [TRY 63.39], Status [APPROVED], Operation [3DAUTH], UUID [3626404-1458732791-216] [23/03/2016 at 11:33:00]"/>
  </r>
  <r>
    <s v="3626377-1458732761-261"/>
    <s v="Spot"/>
    <s v="3626377-1458732761-261"/>
    <n v="0"/>
    <d v="2016-03-31T00:00:00"/>
    <x v="1844"/>
    <s v="261"/>
    <s v="SELL"/>
    <n v="9.9417685118619694"/>
    <x v="0"/>
    <x v="1"/>
    <n v="138.29"/>
    <s v="Deal"/>
    <m/>
    <s v="Original Amount [EUR 13.91], Merchant Amount [EUR 13.91], Customer Amount [NOK 138.29], Status [APPROVED], Operation [DIRECT], UUID [3626377-1458732761-261] [23/03/2016 at 11:32:00]"/>
  </r>
  <r>
    <s v="3626440-1458732826-119"/>
    <s v="Spot"/>
    <s v="3626440-1458732826-119"/>
    <n v="0"/>
    <d v="2016-03-31T00:00:00"/>
    <x v="1845"/>
    <s v="119"/>
    <s v="SELL"/>
    <n v="9.9412000000000003"/>
    <x v="0"/>
    <x v="1"/>
    <n v="497.06"/>
    <s v="Deal"/>
    <m/>
    <s v="Original Amount [EUR 50], Merchant Amount [EUR 50], Customer Amount [NOK 497.06], Status [APPROVED], Operation [3DAUTH], UUID [3626440-1458732826-119] [23/03/2016 at 11:33:00]"/>
  </r>
  <r>
    <s v="3626416-1458732799-216"/>
    <s v="Spot"/>
    <s v="3626416-1458732799-216"/>
    <n v="0"/>
    <d v="2016-03-31T00:00:00"/>
    <x v="1846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416-1458732799-216] [23/03/2016 at 11:33:00]"/>
  </r>
  <r>
    <s v="3626353-1458732746-241"/>
    <s v="Spot"/>
    <s v="3626353-1458732746-241"/>
    <n v="0"/>
    <d v="2016-03-31T00:00:00"/>
    <x v="1847"/>
    <s v="241"/>
    <s v="SELL"/>
    <n v="0.83320830207551888"/>
    <x v="0"/>
    <x v="4"/>
    <n v="66.64"/>
    <s v="Deal"/>
    <m/>
    <s v="Original Amount [EUR 79.98], Merchant Amount [EUR 79.98], Customer Amount [GBP 66.64], Status [APPROVED], Operation [DIRECT], UUID [3626353-1458732746-241] [23/03/2016 at 11:32:00]"/>
  </r>
  <r>
    <s v="3626356-1458732748-216"/>
    <s v="Spot"/>
    <s v="3626356-1458732748-216"/>
    <n v="0"/>
    <d v="2016-03-31T00:00:00"/>
    <x v="1848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6356-1458732748-216] [23/03/2016 at 11:32:00]"/>
  </r>
  <r>
    <s v="3626323-1458732726-119"/>
    <s v="Spot"/>
    <s v="3626323-1458732726-119"/>
    <n v="0"/>
    <d v="2016-03-31T00:00:00"/>
    <x v="184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323-1458732726-119] [23/03/2016 at 11:32:00]"/>
  </r>
  <r>
    <s v="3626386-1458732764-216"/>
    <s v="Spot"/>
    <s v="3626386-1458732764-216"/>
    <n v="0"/>
    <d v="2016-03-31T00:00:00"/>
    <x v="1850"/>
    <s v="216"/>
    <s v="SELL"/>
    <n v="3.3970422761613892"/>
    <x v="0"/>
    <x v="0"/>
    <n v="211.33"/>
    <s v="Deal"/>
    <m/>
    <s v="Original Amount [EUR 62.21], Merchant Amount [EUR 62.21], Customer Amount [TRY 211.33], Status [APPROVED], Operation [3DAUTH], UUID [3626386-1458732764-216] [23/03/2016 at 11:32:00]"/>
  </r>
  <r>
    <s v="3626317-1458732724-224"/>
    <s v="Spot"/>
    <s v="3626317-1458732724-224"/>
    <n v="0"/>
    <d v="2016-03-31T00:00:00"/>
    <x v="1851"/>
    <s v="224"/>
    <s v="SELL"/>
    <n v="133.03788634097708"/>
    <x v="0"/>
    <x v="3"/>
    <n v="4003.11"/>
    <s v="Deal"/>
    <m/>
    <s v="Original Amount [EUR 30.09], Merchant Amount [EUR 30.09], Customer Amount [JPY 4003.11], Status [APPROVED], Operation [DIRECT], UUID [3626317-1458732724-224] [23/03/2016 at 11:32:00]"/>
  </r>
  <r>
    <s v="3626305-1458732719-126"/>
    <s v="Spot"/>
    <s v="3626305-1458732719-126"/>
    <n v="0"/>
    <d v="2016-03-31T00:00:00"/>
    <x v="1852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6305-1458732719-126] [23/03/2016 at 11:31:00]"/>
  </r>
  <r>
    <s v="3626299-1458732717-200"/>
    <s v="Spot"/>
    <s v="3626299-1458732717-200"/>
    <n v="0"/>
    <d v="2016-03-31T00:00:00"/>
    <x v="1853"/>
    <s v="200"/>
    <s v="SELL"/>
    <n v="9.941058394160585"/>
    <x v="0"/>
    <x v="1"/>
    <n v="544.77"/>
    <s v="Deal"/>
    <m/>
    <s v="Original Amount [EUR 54.8], Merchant Amount [EUR 54.8], Customer Amount [NOK 544.77], Status [APPROVED], Operation [DIRECT], UUID [3626299-1458732717-200] [23/03/2016 at 11:31:00]"/>
  </r>
  <r>
    <s v="3626296-1458732715-224"/>
    <s v="Spot"/>
    <s v="3626296-1458732715-224"/>
    <n v="0"/>
    <d v="2016-03-31T00:00:00"/>
    <x v="185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6296-1458732715-224] [23/03/2016 at 11:31:00]"/>
  </r>
  <r>
    <s v="3626290-1458732713-261"/>
    <s v="Spot"/>
    <s v="3626290-1458732713-261"/>
    <n v="0"/>
    <d v="2016-03-31T00:00:00"/>
    <x v="1855"/>
    <s v="261"/>
    <s v="SELL"/>
    <n v="9.9411031473979428"/>
    <x v="0"/>
    <x v="1"/>
    <n v="319.01"/>
    <s v="Deal"/>
    <m/>
    <s v="Original Amount [EUR 32.09], Merchant Amount [EUR 32.09], Customer Amount [NOK 319.01], Status [APPROVED], Operation [DIRECT], UUID [3626290-1458732713-261] [23/03/2016 at 11:31:00]"/>
  </r>
  <r>
    <s v="3626335-1458732734-216"/>
    <s v="Spot"/>
    <s v="3626335-1458732734-216"/>
    <n v="0"/>
    <d v="2016-03-31T00:00:00"/>
    <x v="185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35-1458732734-216] [23/03/2016 at 11:32:00]"/>
  </r>
  <r>
    <s v="3626392-1458732769-126"/>
    <s v="Spot"/>
    <s v="3626392-1458732769-126"/>
    <n v="0"/>
    <d v="2016-03-31T00:00:00"/>
    <x v="1857"/>
    <s v="126"/>
    <s v="SELL"/>
    <n v="9.9410731707317073"/>
    <x v="0"/>
    <x v="1"/>
    <n v="509.48"/>
    <s v="Deal"/>
    <m/>
    <s v="Original Amount [EUR 51.25], Merchant Amount [EUR 51.25], Customer Amount [NOK 509.48], Status [APPROVED], Operation [3DAUTH], UUID [3626392-1458732769-126] [23/03/2016 at 11:32:00]"/>
  </r>
  <r>
    <s v="3626248-1458732689-161"/>
    <s v="Spot"/>
    <s v="3626248-1458732689-161"/>
    <n v="0"/>
    <d v="2016-03-31T00:00:00"/>
    <x v="1858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48-1458732689-161] [23/03/2016 at 11:31:00]"/>
  </r>
  <r>
    <s v="3626311-1458732722-216"/>
    <s v="Spot"/>
    <s v="3626311-1458732722-216"/>
    <n v="0"/>
    <d v="2016-03-31T00:00:00"/>
    <x v="18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311-1458732722-216] [23/03/2016 at 11:32:00]"/>
  </r>
  <r>
    <s v="3626278-1458732705-101"/>
    <s v="Spot"/>
    <s v="3626278-1458732705-101"/>
    <n v="0"/>
    <d v="2016-03-31T00:00:00"/>
    <x v="1860"/>
    <s v="101"/>
    <s v="SELL"/>
    <n v="3.397106109324759"/>
    <x v="0"/>
    <x v="0"/>
    <n v="253.56"/>
    <s v="Deal"/>
    <m/>
    <s v="Original Amount [EUR 74.64], Merchant Amount [EUR 74.64], Customer Amount [TRY 253.56], Status [APPROVED], Operation [3DAUTH], UUID [3626278-1458732705-101] [23/03/2016 at 11:31:00]"/>
  </r>
  <r>
    <s v="3626221-1458732666-161"/>
    <s v="Spot"/>
    <s v="3626221-1458732666-161"/>
    <n v="0"/>
    <d v="2016-03-31T00:00:00"/>
    <x v="1861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6221-1458732666-161] [23/03/2016 at 11:31:00]"/>
  </r>
  <r>
    <s v="3626203-1458732654-199"/>
    <s v="Spot"/>
    <s v="3626203-1458732654-199"/>
    <n v="0"/>
    <d v="2016-03-31T00:00:00"/>
    <x v="1862"/>
    <s v="199"/>
    <s v="SELL"/>
    <n v="9.9410862227677192"/>
    <x v="0"/>
    <x v="1"/>
    <n v="647.96"/>
    <s v="Deal"/>
    <m/>
    <s v="Original Amount [EUR 65.18], Merchant Amount [EUR 65.18], Customer Amount [NOK 647.96], Status [APPROVED], Operation [DIRECT], UUID [3626203-1458732654-199] [23/03/2016 at 11:30:00]"/>
  </r>
  <r>
    <s v="3626188-1458732646-107"/>
    <s v="Spot"/>
    <s v="3626188-1458732646-107"/>
    <n v="0"/>
    <d v="2016-03-31T00:00:00"/>
    <x v="1863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6188-1458732646-107] [23/03/2016 at 11:30:00]"/>
  </r>
  <r>
    <s v="3626227-1458732671-56"/>
    <s v="Spot"/>
    <s v="3626227-1458732671-56"/>
    <n v="0"/>
    <d v="2016-03-31T00:00:00"/>
    <x v="1864"/>
    <s v="56"/>
    <s v="SELL"/>
    <n v="3.3975"/>
    <x v="0"/>
    <x v="0"/>
    <n v="27.18"/>
    <s v="Deal"/>
    <m/>
    <s v="Original Amount [EUR 8], Merchant Amount [EUR 8], Customer Amount [TRY 27.18], Status [APPROVED], Operation [3DAUTH], UUID [3626227-1458732671-56] [23/03/2016 at 11:31:00]"/>
  </r>
  <r>
    <s v="3626218-1458732663-196"/>
    <s v="Spot"/>
    <s v="3626218-1458732663-196"/>
    <n v="0"/>
    <d v="2016-03-31T00:00:00"/>
    <x v="1865"/>
    <s v="196"/>
    <s v="SELL"/>
    <n v="1.7610619469026547"/>
    <x v="0"/>
    <x v="6"/>
    <n v="23.88"/>
    <s v="Deal"/>
    <m/>
    <s v="Original Amount [EUR 13.56], Merchant Amount [EUR 13.56], Customer Amount [NZD 23.88], Status [APPROVED], Operation [3DAUTH], UUID [3626218-1458732663-196] [23/03/2016 at 11:31:00]"/>
  </r>
  <r>
    <s v="3626200-1458732652-216"/>
    <s v="Spot"/>
    <s v="3626200-1458732652-216"/>
    <n v="0"/>
    <d v="2016-03-31T00:00:00"/>
    <x v="1866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6200-1458732652-216] [23/03/2016 at 11:30:00]"/>
  </r>
  <r>
    <s v="3626158-1458732615-261"/>
    <s v="Spot"/>
    <s v="3626158-1458732615-261"/>
    <n v="0"/>
    <d v="2016-03-31T00:00:00"/>
    <x v="1867"/>
    <s v="261"/>
    <s v="SELL"/>
    <n v="9.9411104879416712"/>
    <x v="0"/>
    <x v="1"/>
    <n v="1063.5"/>
    <s v="Deal"/>
    <m/>
    <s v="Original Amount [EUR 106.98], Merchant Amount [EUR 106.98], Customer Amount [NOK 1063.5], Status [APPROVED], Operation [DIRECT], UUID [3626158-1458732615-261] [23/03/2016 at 11:30:00]"/>
  </r>
  <r>
    <s v="3626176-1458732635-56"/>
    <s v="Spot"/>
    <s v="3626176-1458732635-56"/>
    <n v="0"/>
    <d v="2016-03-31T00:00:00"/>
    <x v="1868"/>
    <s v="56"/>
    <s v="SELL"/>
    <n v="3.3969991889699918"/>
    <x v="0"/>
    <x v="0"/>
    <n v="83.77"/>
    <s v="Deal"/>
    <m/>
    <s v="Original Amount [EUR 24.66], Merchant Amount [EUR 24.66], Customer Amount [TRY 83.77], Status [APPROVED], Operation [3DAUTH], UUID [3626176-1458732635-56] [23/03/2016 at 11:30:00]"/>
  </r>
  <r>
    <s v="3626137-1458732598-119"/>
    <s v="Spot"/>
    <s v="3626137-1458732598-119"/>
    <n v="0"/>
    <d v="2016-03-31T00:00:00"/>
    <x v="186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6137-1458732598-119] [23/03/2016 at 11:29:00]"/>
  </r>
  <r>
    <s v="3626155-1458732615-216"/>
    <s v="Spot"/>
    <s v="3626155-1458732615-216"/>
    <n v="0"/>
    <d v="2016-03-31T00:00:00"/>
    <x v="187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6155-1458732615-216] [23/03/2016 at 11:30:00]"/>
  </r>
  <r>
    <s v="3626128-1458732585-261"/>
    <s v="Spot"/>
    <s v="3626128-1458732585-261"/>
    <n v="0"/>
    <d v="2016-03-31T00:00:00"/>
    <x v="1871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6128-1458732585-261] [23/03/2016 at 11:29:00]"/>
  </r>
  <r>
    <s v="3626119-1458732582-224"/>
    <s v="Spot"/>
    <s v="3626119-1458732582-224"/>
    <n v="0"/>
    <d v="2016-03-31T00:00:00"/>
    <x v="1872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6119-1458732582-224] [23/03/2016 at 11:29:00]"/>
  </r>
  <r>
    <s v="3626116-1458732579-107"/>
    <s v="Spot"/>
    <s v="3626116-1458732579-107"/>
    <n v="0"/>
    <d v="2016-03-31T00:00:00"/>
    <x v="1873"/>
    <s v="107"/>
    <s v="SELL"/>
    <n v="3.39719298245614"/>
    <x v="0"/>
    <x v="0"/>
    <n v="48.41"/>
    <s v="Deal"/>
    <m/>
    <s v="Original Amount [EUR 14.25], Merchant Amount [EUR 14.25], Customer Amount [TRY 48.41], Status [WAITING], Operation [3D], UUID [3626116-1458732579-107] [23/03/2016 at 11:29:00]"/>
  </r>
  <r>
    <s v="3626134-1458732592-196"/>
    <s v="Spot"/>
    <s v="3626134-1458732592-196"/>
    <n v="0"/>
    <d v="2016-03-31T00:00:00"/>
    <x v="1874"/>
    <s v="196"/>
    <s v="SELL"/>
    <n v="9.9417670682730908"/>
    <x v="0"/>
    <x v="1"/>
    <n v="99.02"/>
    <s v="Deal"/>
    <m/>
    <s v="Original Amount [EUR 9.96], Merchant Amount [EUR 9.96], Customer Amount [NOK 99.02], Status [APPROVED], Operation [3DAUTH], UUID [3626134-1458732592-196] [23/03/2016 at 11:29:00]"/>
  </r>
  <r>
    <s v="3626146-1458732604-56"/>
    <s v="Spot"/>
    <s v="3626146-1458732604-56"/>
    <n v="0"/>
    <d v="2016-03-31T00:00:00"/>
    <x v="1875"/>
    <s v="56"/>
    <s v="SELL"/>
    <n v="3.3978365384615383"/>
    <x v="0"/>
    <x v="0"/>
    <n v="28.27"/>
    <s v="Deal"/>
    <m/>
    <s v="Original Amount [EUR 8.32], Merchant Amount [EUR 8.32], Customer Amount [TRY 28.27], Status [APPROVED], Operation [3DAUTH], UUID [3626146-1458732604-56] [23/03/2016 at 11:30:00]"/>
  </r>
  <r>
    <s v="3626095-1458732556-171"/>
    <s v="Spot"/>
    <s v="3626095-1458732556-171"/>
    <n v="0"/>
    <d v="2016-03-31T00:00:00"/>
    <x v="1876"/>
    <s v="171"/>
    <s v="SELL"/>
    <n v="9.9413333333333345"/>
    <x v="0"/>
    <x v="1"/>
    <n v="298.24"/>
    <s v="Deal"/>
    <m/>
    <s v="Original Amount [EUR 30], Merchant Amount [EUR 30], Customer Amount [NOK 298.24], Status [APPROVED], Operation [DIRECT], UUID [3626095-1458732556-171] [23/03/2016 at 11:29:00]"/>
  </r>
  <r>
    <s v="3626092-1458732554-224"/>
    <s v="Spot"/>
    <s v="3626092-1458732554-224"/>
    <n v="0"/>
    <d v="2016-03-31T00:00:00"/>
    <x v="1877"/>
    <s v="224"/>
    <s v="SELL"/>
    <n v="133.03837719298247"/>
    <x v="0"/>
    <x v="3"/>
    <n v="1213.31"/>
    <s v="Deal"/>
    <m/>
    <s v="Original Amount [EUR 9.12], Merchant Amount [EUR 9.12], Customer Amount [JPY 1213.31], Status [APPROVED], Operation [DIRECT], UUID [3626092-1458732554-224] [23/03/2016 at 11:29:00]"/>
  </r>
  <r>
    <s v="3626083-1458732533-126"/>
    <s v="Spot"/>
    <s v="3626083-1458732533-126"/>
    <n v="0"/>
    <d v="2016-03-31T00:00:00"/>
    <x v="187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6083-1458732533-126] [23/03/2016 at 11:28:00]"/>
  </r>
  <r>
    <s v="3626125-1458732584-216"/>
    <s v="Spot"/>
    <s v="3626125-1458732584-216"/>
    <n v="0"/>
    <d v="2016-03-31T00:00:00"/>
    <x v="187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6125-1458732584-216] [23/03/2016 at 11:29:00]"/>
  </r>
  <r>
    <s v="3626077-1458732531-101"/>
    <s v="Spot"/>
    <s v="3626077-1458732531-101"/>
    <n v="0"/>
    <d v="2016-03-31T00:00:00"/>
    <x v="1880"/>
    <s v="101"/>
    <s v="SELL"/>
    <n v="3.3970745629682479"/>
    <x v="0"/>
    <x v="0"/>
    <n v="380.88"/>
    <s v="Deal"/>
    <m/>
    <s v="Original Amount [EUR 112.12], Merchant Amount [EUR 112.12], Customer Amount [TRY 380.88], Status [APPROVED], Operation [3DAUTH], UUID [3626077-1458732531-101] [23/03/2016 at 11:28:00]"/>
  </r>
  <r>
    <s v="3626047-1458732502-216"/>
    <s v="Spot"/>
    <s v="3626047-1458732502-216"/>
    <n v="0"/>
    <d v="2016-03-31T00:00:00"/>
    <x v="1881"/>
    <s v="216"/>
    <s v="SELL"/>
    <n v="3.397128161165881"/>
    <x v="0"/>
    <x v="0"/>
    <n v="158.51"/>
    <s v="Deal"/>
    <m/>
    <s v="Original Amount [EUR 46.66], Merchant Amount [EUR 46.66], Customer Amount [TRY 158.51], Status [WAITING], Operation [3D], UUID [3626047-1458732502-216] [23/03/2016 at 11:28:00]"/>
  </r>
  <r>
    <s v="3626044-1458732482-119"/>
    <s v="Spot"/>
    <s v="3626044-1458732482-119"/>
    <n v="0"/>
    <d v="2016-03-31T00:00:00"/>
    <x v="1882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6044-1458732482-119] [23/03/2016 at 11:28:00]"/>
  </r>
  <r>
    <s v="3626053-1458732509-102"/>
    <s v="Spot"/>
    <s v="3626053-1458732509-102"/>
    <n v="0"/>
    <d v="2016-03-31T00:00:00"/>
    <x v="1883"/>
    <s v="102"/>
    <s v="SELL"/>
    <n v="3.3971326164874553"/>
    <x v="0"/>
    <x v="0"/>
    <n v="47.39"/>
    <s v="Deal"/>
    <m/>
    <s v="Original Amount [EUR 13.95], Merchant Amount [EUR 13.95], Customer Amount [TRY 47.39], Status [APPROVED], Operation [3DAUTH], UUID [3626053-1458732509-102] [23/03/2016 at 11:28:00]"/>
  </r>
  <r>
    <s v="3626026-1458732464-200"/>
    <s v="Spot"/>
    <s v="3626026-1458732464-200"/>
    <n v="0"/>
    <d v="2016-03-31T00:00:00"/>
    <x v="1884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6026-1458732464-200] [23/03/2016 at 11:27:00]"/>
  </r>
  <r>
    <s v="3626014-1458732441-134"/>
    <s v="Spot"/>
    <s v="3626014-1458732441-134"/>
    <n v="0"/>
    <d v="2016-03-31T00:00:00"/>
    <x v="1885"/>
    <s v="134"/>
    <s v="BUY"/>
    <n v="133.25335830508337"/>
    <x v="0"/>
    <x v="3"/>
    <n v="325861.76000000001"/>
    <s v="Deal"/>
    <m/>
    <s v="Original Amount [EUR 2445.43], Merchant Amount [EUR 2445.43], Customer Amount [JPY 325861.76], Status [APPROVED], Operation [REFUND], UUID [3626014-1458732441-134] [23/03/2016 at 11:27:00]"/>
  </r>
  <r>
    <s v="3626023-1458732462-216"/>
    <s v="Spot"/>
    <s v="3626023-1458732462-216"/>
    <n v="0"/>
    <d v="2016-03-31T00:00:00"/>
    <x v="188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6023-1458732462-216] [23/03/2016 at 11:27:00]"/>
  </r>
  <r>
    <s v="3626002-1458732421-171"/>
    <s v="Spot"/>
    <s v="3626002-1458732421-171"/>
    <n v="0"/>
    <d v="2016-03-31T00:00:00"/>
    <x v="1887"/>
    <s v="171"/>
    <s v="SELL"/>
    <n v="9.9420000000000002"/>
    <x v="0"/>
    <x v="1"/>
    <n v="99.42"/>
    <s v="Deal"/>
    <m/>
    <s v="Original Amount [EUR 10], Merchant Amount [EUR 10], Customer Amount [NOK 99.42], Status [APPROVED], Operation [DIRECT], UUID [3626002-1458732421-171] [23/03/2016 at 11:27:00]"/>
  </r>
  <r>
    <s v="3625993-1458732411-134"/>
    <s v="Spot"/>
    <s v="3625993-1458732411-134"/>
    <n v="0"/>
    <d v="2016-03-31T00:00:00"/>
    <x v="1888"/>
    <s v="134"/>
    <s v="BUY"/>
    <n v="132.05320315928037"/>
    <x v="0"/>
    <x v="3"/>
    <n v="12037.97"/>
    <s v="Deal"/>
    <m/>
    <s v="Original Amount [EUR 91.16], Merchant Amount [EUR 91.16], Customer Amount [JPY 12037.97], Status [APPROVED], Operation [REFUND], UUID [3625993-1458732411-134] [23/03/2016 at 11:26:00]"/>
  </r>
  <r>
    <s v="3626017-1458732443-56"/>
    <s v="Spot"/>
    <s v="3626017-1458732443-56"/>
    <n v="0"/>
    <d v="2016-03-31T00:00:00"/>
    <x v="1889"/>
    <s v="56"/>
    <s v="SELL"/>
    <n v="3.3979166666666667"/>
    <x v="0"/>
    <x v="0"/>
    <n v="32.619999999999997"/>
    <s v="Deal"/>
    <m/>
    <s v="Original Amount [EUR 9.6], Merchant Amount [EUR 9.6], Customer Amount [TRY 32.62], Status [APPROVED], Operation [3DAUTH], UUID [3626017-1458732443-56] [23/03/2016 at 11:27:00]"/>
  </r>
  <r>
    <s v="3625984-1458732405-134"/>
    <s v="Spot"/>
    <s v="3625984-1458732405-134"/>
    <n v="0"/>
    <d v="2016-03-31T00:00:00"/>
    <x v="1890"/>
    <s v="134"/>
    <s v="BUY"/>
    <n v="132.0532043265539"/>
    <x v="0"/>
    <x v="3"/>
    <n v="60188.53"/>
    <s v="Deal"/>
    <m/>
    <s v="Original Amount [EUR 455.79], Merchant Amount [EUR 455.79], Customer Amount [JPY 60188.53], Status [APPROVED], Operation [REFUND], UUID [3625984-1458732405-134] [23/03/2016 at 11:26:00]"/>
  </r>
  <r>
    <s v="3626005-1458732423-150"/>
    <s v="Spot"/>
    <s v="3626005-1458732423-150"/>
    <n v="0"/>
    <d v="2016-03-31T00:00:00"/>
    <x v="1891"/>
    <s v="150"/>
    <s v="SELL"/>
    <n v="3.3970876505180621"/>
    <x v="0"/>
    <x v="0"/>
    <n v="121.31"/>
    <s v="Deal"/>
    <m/>
    <s v="Original Amount [EUR 35.71], Merchant Amount [EUR 35.71], Customer Amount [TRY 121.31], Status [APPROVED], Operation [3DAUTH], UUID [3626005-1458732423-150] [23/03/2016 at 11:27:00]"/>
  </r>
  <r>
    <s v="3625978-1458732402-224"/>
    <s v="Spot"/>
    <s v="3625978-1458732402-224"/>
    <n v="0"/>
    <d v="2016-03-31T00:00:00"/>
    <x v="18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978-1458732402-224] [23/03/2016 at 11:26:00]"/>
  </r>
  <r>
    <s v="3625972-1458732400-134"/>
    <s v="Spot"/>
    <s v="3625972-1458732400-134"/>
    <n v="0"/>
    <d v="2016-03-31T00:00:00"/>
    <x v="1893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72-1458732400-134] [23/03/2016 at 11:26:00]"/>
  </r>
  <r>
    <s v="3626032-1458732470-101"/>
    <s v="Spot"/>
    <s v="3626032-1458732470-101"/>
    <n v="0"/>
    <d v="2016-03-31T00:00:00"/>
    <x v="1894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6032-1458732470-101] [23/03/2016 at 11:27:00]"/>
  </r>
  <r>
    <s v="3625963-1458732395-134"/>
    <s v="Spot"/>
    <s v="3625963-1458732395-134"/>
    <n v="0"/>
    <d v="2016-03-31T00:00:00"/>
    <x v="1895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63-1458732395-134] [23/03/2016 at 11:26:00]"/>
  </r>
  <r>
    <s v="3625957-1458732390-134"/>
    <s v="Spot"/>
    <s v="3625957-1458732390-134"/>
    <n v="0"/>
    <d v="2016-03-31T00:00:00"/>
    <x v="1896"/>
    <s v="134"/>
    <s v="BUY"/>
    <n v="131.22090547984286"/>
    <x v="0"/>
    <x v="3"/>
    <n v="59793.43"/>
    <s v="Deal"/>
    <m/>
    <s v="Original Amount [EUR 455.67], Merchant Amount [EUR 455.67], Customer Amount [JPY 59793.43], Status [APPROVED], Operation [REFUND], UUID [3625957-1458732390-134] [23/03/2016 at 11:26:00]"/>
  </r>
  <r>
    <s v="3625948-1458732385-134"/>
    <s v="Spot"/>
    <s v="3625948-1458732385-134"/>
    <n v="0"/>
    <d v="2016-03-31T00:00:00"/>
    <x v="1897"/>
    <s v="134"/>
    <s v="BUY"/>
    <n v="131.2209006231991"/>
    <x v="0"/>
    <x v="3"/>
    <n v="78328.38"/>
    <s v="Deal"/>
    <m/>
    <s v="Original Amount [EUR 596.92], Merchant Amount [EUR 596.92], Customer Amount [JPY 78328.38], Status [APPROVED], Operation [REFUND], UUID [3625948-1458732385-134] [23/03/2016 at 11:26:00]"/>
  </r>
  <r>
    <s v="3625975-1458732402-107"/>
    <s v="Spot"/>
    <s v="3625975-1458732402-107"/>
    <n v="0"/>
    <d v="2016-03-31T00:00:00"/>
    <x v="1898"/>
    <s v="107"/>
    <s v="SELL"/>
    <n v="3.3979107312440648"/>
    <x v="0"/>
    <x v="0"/>
    <n v="35.78"/>
    <s v="Deal"/>
    <m/>
    <s v="Original Amount [EUR 10.53], Merchant Amount [EUR 10.53], Customer Amount [TRY 35.78], Status [APPROVED], Operation [3DAUTH], UUID [3625975-1458732402-107] [23/03/2016 at 11:26:00]"/>
  </r>
  <r>
    <s v="3625966-1458732397-264"/>
    <s v="Spot"/>
    <s v="3625966-1458732397-264"/>
    <n v="0"/>
    <d v="2016-03-31T00:00:00"/>
    <x v="1899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5966-1458732397-264] [23/03/2016 at 11:26:00]"/>
  </r>
  <r>
    <s v="3625996-1458732412-224"/>
    <s v="Spot"/>
    <s v="3625996-1458732412-224"/>
    <n v="0"/>
    <d v="2016-03-31T00:00:00"/>
    <x v="1900"/>
    <s v="224"/>
    <s v="SELL"/>
    <n v="9.941869417924238"/>
    <x v="0"/>
    <x v="1"/>
    <n v="1291.25"/>
    <s v="Deal"/>
    <m/>
    <s v="Original Amount [EUR 129.88], Merchant Amount [EUR 129.88], Customer Amount [NOK 1291.25], Status [APPROVED], Operation [3DAUTH], UUID [3625996-1458732412-224] [23/03/2016 at 11:26:00]"/>
  </r>
  <r>
    <s v="3625951-1458732387-216"/>
    <s v="Spot"/>
    <s v="3625951-1458732387-216"/>
    <n v="0"/>
    <d v="2016-03-31T00:00:00"/>
    <x v="1901"/>
    <s v="216"/>
    <s v="SELL"/>
    <n v="3.397106109324759"/>
    <x v="0"/>
    <x v="0"/>
    <n v="105.65"/>
    <s v="Deal"/>
    <m/>
    <s v="Original Amount [EUR 31.1], Merchant Amount [EUR 31.1], Customer Amount [TRY 105.65], Status [APPROVED], Operation [3DAUTH], UUID [3625951-1458732387-216] [23/03/2016 at 11:26:00]"/>
  </r>
  <r>
    <s v="3625918-1458732348-145"/>
    <s v="Spot"/>
    <s v="3625918-1458732348-145"/>
    <n v="0"/>
    <d v="2016-03-31T00:00:00"/>
    <x v="1902"/>
    <s v="145"/>
    <s v="SELL"/>
    <n v="9.9418031462126919"/>
    <x v="0"/>
    <x v="1"/>
    <n v="7381.59"/>
    <s v="Deal"/>
    <m/>
    <s v="Original Amount [EUR 742.48], Merchant Amount [EUR 742.48], Customer Amount [NOK 7381.59], Status [APPROVED], Operation [DIRECT], UUID [3625918-1458732348-145] [23/03/2016 at 11:25:00]"/>
  </r>
  <r>
    <s v="3625909-1458732336-224"/>
    <s v="Spot"/>
    <s v="3625909-1458732336-224"/>
    <n v="0"/>
    <d v="2016-03-31T00:00:00"/>
    <x v="1903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909-1458732336-224] [23/03/2016 at 11:25:00]"/>
  </r>
  <r>
    <s v="3625906-1458732336-134"/>
    <s v="Spot"/>
    <s v="3625906-1458732336-134"/>
    <n v="0"/>
    <d v="2016-03-31T00:00:00"/>
    <x v="1904"/>
    <s v="134"/>
    <s v="BUY"/>
    <n v="132.05319335658965"/>
    <x v="0"/>
    <x v="3"/>
    <n v="120377.05"/>
    <s v="Deal"/>
    <m/>
    <s v="Original Amount [EUR 911.58], Merchant Amount [EUR 911.58], Customer Amount [JPY 120377.05], Status [APPROVED], Operation [REFUND], UUID [3625906-1458732336-134] [23/03/2016 at 11:25:00]"/>
  </r>
  <r>
    <s v="3625897-1458732330-134"/>
    <s v="Spot"/>
    <s v="3625897-1458732330-134"/>
    <n v="0"/>
    <d v="2016-03-31T00:00:00"/>
    <x v="1905"/>
    <s v="134"/>
    <s v="BUY"/>
    <n v="132.05320315928037"/>
    <x v="0"/>
    <x v="3"/>
    <n v="24075.94"/>
    <s v="Deal"/>
    <m/>
    <s v="Original Amount [EUR 182.32], Merchant Amount [EUR 182.32], Customer Amount [JPY 24075.94], Status [APPROVED], Operation [REFUND], UUID [3625897-1458732330-134] [23/03/2016 at 11:25:00]"/>
  </r>
  <r>
    <s v="3625891-1458732326-199"/>
    <s v="Spot"/>
    <s v="3625891-1458732326-199"/>
    <n v="0"/>
    <d v="2016-03-31T00:00:00"/>
    <x v="1906"/>
    <s v="199"/>
    <s v="SELL"/>
    <n v="9.9421487603305785"/>
    <x v="0"/>
    <x v="1"/>
    <n v="264.66000000000003"/>
    <s v="Deal"/>
    <m/>
    <s v="Original Amount [EUR 26.62], Merchant Amount [EUR 26.62], Customer Amount [NOK 264.66], Status [APPROVED], Operation [DIRECT], UUID [3625891-1458732326-199] [23/03/2016 at 11:25:00]"/>
  </r>
  <r>
    <s v="3625888-1458732325-134"/>
    <s v="Spot"/>
    <s v="3625888-1458732325-134"/>
    <n v="0"/>
    <d v="2016-03-31T00:00:00"/>
    <x v="1907"/>
    <s v="134"/>
    <s v="BUY"/>
    <n v="132.21566476524794"/>
    <x v="0"/>
    <x v="3"/>
    <n v="48211.12"/>
    <s v="Deal"/>
    <m/>
    <s v="Original Amount [EUR 364.64], Merchant Amount [EUR 364.64], Customer Amount [JPY 48211.12], Status [APPROVED], Operation [REFUND], UUID [3625888-1458732325-134] [23/03/2016 at 11:25:00]"/>
  </r>
  <r>
    <s v="3625885-1458732316-134"/>
    <s v="Spot"/>
    <s v="3625885-1458732316-134"/>
    <n v="0"/>
    <d v="2016-03-31T00:00:00"/>
    <x v="1908"/>
    <s v="134"/>
    <s v="BUY"/>
    <n v="132.21566949691743"/>
    <x v="0"/>
    <x v="3"/>
    <n v="120525.16"/>
    <s v="Deal"/>
    <m/>
    <s v="Original Amount [EUR 911.58], Merchant Amount [EUR 911.58], Customer Amount [JPY 120525.16], Status [APPROVED], Operation [REFUND], UUID [3625885-1458732316-134] [23/03/2016 at 11:25:00]"/>
  </r>
  <r>
    <s v="3625882-1458732311-134"/>
    <s v="Spot"/>
    <s v="3625882-1458732311-134"/>
    <n v="0"/>
    <d v="2016-03-31T00:00:00"/>
    <x v="1909"/>
    <s v="134"/>
    <s v="BUY"/>
    <n v="130.69340006731301"/>
    <x v="0"/>
    <x v="3"/>
    <n v="120377.77"/>
    <s v="Deal"/>
    <m/>
    <s v="Original Amount [EUR 921.07], Merchant Amount [EUR 921.07], Customer Amount [JPY 120377.77], Status [APPROVED], Operation [REFUND], UUID [3625882-1458732311-134] [23/03/2016 at 11:25:00]"/>
  </r>
  <r>
    <s v="3625927-1458732361-216"/>
    <s v="Spot"/>
    <s v="3625927-1458732361-216"/>
    <n v="0"/>
    <d v="2016-03-31T00:00:00"/>
    <x v="191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927-1458732361-216] [23/03/2016 at 11:26:00]"/>
  </r>
  <r>
    <s v="3625876-1458732304-134"/>
    <s v="Spot"/>
    <s v="3625876-1458732304-134"/>
    <n v="0"/>
    <d v="2016-03-31T00:00:00"/>
    <x v="1911"/>
    <s v="134"/>
    <s v="BUY"/>
    <n v="130.69341705269255"/>
    <x v="0"/>
    <x v="3"/>
    <n v="72226.41"/>
    <s v="Deal"/>
    <m/>
    <s v="Original Amount [EUR 552.64], Merchant Amount [EUR 552.64], Customer Amount [JPY 72226.41], Status [APPROVED], Operation [REFUND], UUID [3625876-1458732304-134] [23/03/2016 at 11:25:00]"/>
  </r>
  <r>
    <s v="3625870-1458732296-216"/>
    <s v="Spot"/>
    <s v="3625870-1458732296-216"/>
    <n v="0"/>
    <d v="2016-03-31T00:00:00"/>
    <x v="1912"/>
    <s v="216"/>
    <s v="SELL"/>
    <n v="3.3971428571428572"/>
    <x v="0"/>
    <x v="0"/>
    <n v="47.56"/>
    <s v="Deal"/>
    <m/>
    <s v="Original Amount [EUR 14], Merchant Amount [EUR 14], Customer Amount [TRY 47.56], Status [WAITING], Operation [3D], UUID [3625870-1458732296-216] [23/03/2016 at 11:24:00]"/>
  </r>
  <r>
    <s v="3625912-1458732340-107"/>
    <s v="Spot"/>
    <s v="3625912-1458732340-107"/>
    <n v="0"/>
    <d v="2016-03-31T00:00:00"/>
    <x v="1913"/>
    <s v="107"/>
    <s v="SELL"/>
    <n v="3.3974175035868006"/>
    <x v="0"/>
    <x v="0"/>
    <n v="47.36"/>
    <s v="Deal"/>
    <m/>
    <s v="Original Amount [EUR 13.94], Merchant Amount [EUR 13.94], Customer Amount [TRY 47.36], Status [APPROVED], Operation [3DAUTH], UUID [3625912-1458732340-107] [23/03/2016 at 11:25:00]"/>
  </r>
  <r>
    <s v="3625855-1458732281-224"/>
    <s v="Spot"/>
    <s v="3625855-1458732281-224"/>
    <n v="0"/>
    <d v="2016-03-31T00:00:00"/>
    <x v="1914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855-1458732281-224] [23/03/2016 at 11:24:00]"/>
  </r>
  <r>
    <s v="3625852-1458732275-238"/>
    <s v="Spot"/>
    <s v="3625852-1458732275-238"/>
    <n v="0"/>
    <d v="2016-03-31T00:00:00"/>
    <x v="191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852-1458732275-238] [23/03/2016 at 11:24:00]"/>
  </r>
  <r>
    <s v="3625843-1458732268-241"/>
    <s v="Spot"/>
    <s v="3625843-1458732268-241"/>
    <n v="0"/>
    <d v="2016-03-31T00:00:00"/>
    <x v="1916"/>
    <s v="241"/>
    <s v="SELL"/>
    <n v="0.83327775925308434"/>
    <x v="0"/>
    <x v="4"/>
    <n v="24.99"/>
    <s v="Deal"/>
    <m/>
    <s v="Original Amount [EUR 29.99], Merchant Amount [EUR 29.99], Customer Amount [GBP 24.99], Status [APPROVED], Operation [DIRECT], UUID [3625843-1458732268-241] [23/03/2016 at 11:24:00]"/>
  </r>
  <r>
    <s v="3625864-1458732291-216"/>
    <s v="Spot"/>
    <s v="3625864-1458732291-216"/>
    <n v="0"/>
    <d v="2016-03-31T00:00:00"/>
    <x v="1917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4-1458732291-216] [23/03/2016 at 11:24:00]"/>
  </r>
  <r>
    <s v="3625846-1458732268-216"/>
    <s v="Spot"/>
    <s v="3625846-1458732268-216"/>
    <n v="0"/>
    <d v="2016-03-31T00:00:00"/>
    <x v="1918"/>
    <s v="216"/>
    <s v="SELL"/>
    <n v="3.397092084006462"/>
    <x v="0"/>
    <x v="0"/>
    <n v="210.28"/>
    <s v="Deal"/>
    <m/>
    <s v="Original Amount [EUR 61.9], Merchant Amount [EUR 61.9], Customer Amount [TRY 210.28], Status [APPROVED], Operation [3DAUTH], UUID [3625846-1458732268-216] [23/03/2016 at 11:24:00]"/>
  </r>
  <r>
    <s v="3625861-1458732286-216"/>
    <s v="Spot"/>
    <s v="3625861-1458732286-216"/>
    <n v="0"/>
    <d v="2016-03-31T00:00:00"/>
    <x v="1919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861-1458732286-216] [23/03/2016 at 11:24:00]"/>
  </r>
  <r>
    <s v="3625837-1458732259-216"/>
    <s v="Spot"/>
    <s v="3625837-1458732259-216"/>
    <n v="0"/>
    <d v="2016-03-31T00:00:00"/>
    <x v="1920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37-1458732259-216] [23/03/2016 at 11:24:00]"/>
  </r>
  <r>
    <s v="3625804-1458732214-82"/>
    <s v="Spot"/>
    <s v="3625804-1458732214-82"/>
    <n v="0"/>
    <d v="2016-03-31T00:00:00"/>
    <x v="1921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804-1458732214-82] [23/03/2016 at 11:23:00]"/>
  </r>
  <r>
    <s v="3625795-1458732202-126"/>
    <s v="Spot"/>
    <s v="3625795-1458732202-126"/>
    <n v="0"/>
    <d v="2016-03-31T00:00:00"/>
    <x v="1922"/>
    <s v="126"/>
    <s v="SELL"/>
    <n v="9.9422764227642269"/>
    <x v="0"/>
    <x v="1"/>
    <n v="122.29"/>
    <s v="Deal"/>
    <m/>
    <s v="Original Amount [EUR 12.3], Merchant Amount [EUR 12.3], Customer Amount [NOK 122.29], Status [APPROVED], Operation [DIRECT], UUID [3625795-1458732202-126] [23/03/2016 at 11:23:00]"/>
  </r>
  <r>
    <s v="3625789-1458732201-82"/>
    <s v="Spot"/>
    <s v="3625789-1458732201-82"/>
    <n v="0"/>
    <d v="2016-03-31T00:00:00"/>
    <x v="1923"/>
    <s v="82"/>
    <s v="SELL"/>
    <n v="0.83634175691937418"/>
    <x v="0"/>
    <x v="4"/>
    <n v="6.95"/>
    <s v="Deal"/>
    <m/>
    <s v="Original Amount [GBP 6.95], Merchant Amount [EUR 8.31], Customer Amount [GBP 6.95], Status [APPROVED], Operation [DIRECT], UUID [3625789-1458732201-82] [23/03/2016 at 11:23:00]"/>
  </r>
  <r>
    <s v="3625777-1458732192-171"/>
    <s v="Spot"/>
    <s v="3625777-1458732192-171"/>
    <n v="0"/>
    <d v="2016-03-31T00:00:00"/>
    <x v="1924"/>
    <s v="171"/>
    <s v="SELL"/>
    <n v="9.9420000000000002"/>
    <x v="0"/>
    <x v="1"/>
    <n v="198.84"/>
    <s v="Deal"/>
    <m/>
    <s v="Original Amount [EUR 20], Merchant Amount [EUR 20], Customer Amount [NOK 198.84], Status [APPROVED], Operation [DIRECT], UUID [3625777-1458732192-171] [23/03/2016 at 11:23:00]"/>
  </r>
  <r>
    <s v="3625807-1458732226-216"/>
    <s v="Spot"/>
    <s v="3625807-1458732226-216"/>
    <n v="0"/>
    <d v="2016-03-31T00:00:00"/>
    <x v="1925"/>
    <s v="216"/>
    <s v="SELL"/>
    <n v="3.3972927241962774"/>
    <x v="0"/>
    <x v="0"/>
    <n v="100.39"/>
    <s v="Deal"/>
    <m/>
    <s v="Original Amount [EUR 29.55], Merchant Amount [EUR 29.55], Customer Amount [TRY 100.39], Status [APPROVED], Operation [3DAUTH], UUID [3625807-1458732226-216] [23/03/2016 at 11:23:00]"/>
  </r>
  <r>
    <s v="3625798-1458732211-216"/>
    <s v="Spot"/>
    <s v="3625798-1458732211-216"/>
    <n v="0"/>
    <d v="2016-03-31T00:00:00"/>
    <x v="1926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98-1458732211-216] [23/03/2016 at 11:23:00]"/>
  </r>
  <r>
    <s v="3625783-1458732198-216"/>
    <s v="Spot"/>
    <s v="3625783-1458732198-216"/>
    <n v="0"/>
    <d v="2016-03-31T00:00:00"/>
    <x v="192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83-1458732198-216] [23/03/2016 at 11:23:00]"/>
  </r>
  <r>
    <s v="3625750-1458732159-224"/>
    <s v="Spot"/>
    <s v="3625750-1458732159-224"/>
    <n v="0"/>
    <d v="2016-03-31T00:00:00"/>
    <x v="1928"/>
    <s v="224"/>
    <s v="SELL"/>
    <n v="133.03769705277588"/>
    <x v="0"/>
    <x v="3"/>
    <n v="9705.1"/>
    <s v="Deal"/>
    <m/>
    <s v="Original Amount [EUR 72.95], Merchant Amount [EUR 72.95], Customer Amount [JPY 9705.1], Status [APPROVED], Operation [DIRECT], UUID [3625750-1458732159-224] [23/03/2016 at 11:22:00]"/>
  </r>
  <r>
    <s v="3625747-1458732154-216"/>
    <s v="Spot"/>
    <s v="3625747-1458732154-216"/>
    <n v="0"/>
    <d v="2016-03-31T00:00:00"/>
    <x v="192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7-1458732154-216] [23/03/2016 at 11:22:00]"/>
  </r>
  <r>
    <s v="3625744-1458732154-216"/>
    <s v="Spot"/>
    <s v="3625744-1458732154-216"/>
    <n v="0"/>
    <d v="2016-03-31T00:00:00"/>
    <x v="1930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5744-1458732154-216] [23/03/2016 at 11:22:00]"/>
  </r>
  <r>
    <s v="3625738-1458732146-126"/>
    <s v="Spot"/>
    <s v="3625738-1458732146-126"/>
    <n v="0"/>
    <d v="2016-03-31T00:00:00"/>
    <x v="193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5738-1458732146-126] [23/03/2016 at 11:22:00]"/>
  </r>
  <r>
    <s v="3625729-1458732138-101"/>
    <s v="Spot"/>
    <s v="3625729-1458732138-101"/>
    <n v="0"/>
    <d v="2016-03-31T00:00:00"/>
    <x v="1932"/>
    <s v="101"/>
    <s v="SELL"/>
    <n v="3.3971276927880112"/>
    <x v="0"/>
    <x v="0"/>
    <n v="217.62"/>
    <s v="Deal"/>
    <m/>
    <s v="Original Amount [EUR 64.06], Merchant Amount [EUR 64.06], Customer Amount [TRY 217.62], Status [WAITING], Operation [3D], UUID [3625729-1458732138-101] [23/03/2016 at 11:22:00]"/>
  </r>
  <r>
    <s v="3625765-1458732189-216"/>
    <s v="Spot"/>
    <s v="3625765-1458732189-216"/>
    <n v="0"/>
    <d v="2016-03-31T00:00:00"/>
    <x v="1933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65-1458732189-216] [23/03/2016 at 11:23:00]"/>
  </r>
  <r>
    <s v="3625780-1458732193-216"/>
    <s v="Spot"/>
    <s v="3625780-1458732193-216"/>
    <n v="0"/>
    <d v="2016-03-31T00:00:00"/>
    <x v="1934"/>
    <s v="216"/>
    <s v="SELL"/>
    <n v="3.3971578160059837"/>
    <x v="0"/>
    <x v="0"/>
    <n v="45.42"/>
    <s v="Deal"/>
    <m/>
    <s v="Original Amount [EUR 13.37], Merchant Amount [EUR 13.37], Customer Amount [TRY 45.42], Status [APPROVED], Operation [3DAUTH], UUID [3625780-1458732193-216] [23/03/2016 at 11:23:00]"/>
  </r>
  <r>
    <s v="3625741-1458732150-216"/>
    <s v="Spot"/>
    <s v="3625741-1458732150-216"/>
    <n v="0"/>
    <d v="2016-03-31T00:00:00"/>
    <x v="1935"/>
    <s v="216"/>
    <s v="SELL"/>
    <n v="3.397106109324759"/>
    <x v="0"/>
    <x v="0"/>
    <n v="126.78"/>
    <s v="Deal"/>
    <m/>
    <s v="Original Amount [EUR 37.32], Merchant Amount [EUR 37.32], Customer Amount [TRY 126.78], Status [APPROVED], Operation [3DAUTH], UUID [3625741-1458732150-216] [23/03/2016 at 11:22:00]"/>
  </r>
  <r>
    <s v="3625774-1458732191-56"/>
    <s v="Spot"/>
    <s v="3625774-1458732191-56"/>
    <n v="0"/>
    <d v="2016-03-31T00:00:00"/>
    <x v="1936"/>
    <s v="56"/>
    <s v="SELL"/>
    <n v="3.3976293103448278"/>
    <x v="0"/>
    <x v="0"/>
    <n v="31.53"/>
    <s v="Deal"/>
    <m/>
    <s v="Original Amount [EUR 9.28], Merchant Amount [EUR 9.28], Customer Amount [TRY 31.53], Status [APPROVED], Operation [3DAUTH], UUID [3625774-1458732191-56] [23/03/2016 at 11:23:00]"/>
  </r>
  <r>
    <s v="3625705-1458732090-199"/>
    <s v="Spot"/>
    <s v="3625705-1458732090-199"/>
    <n v="0"/>
    <d v="2016-03-31T00:00:00"/>
    <x v="1937"/>
    <s v="199"/>
    <s v="SELL"/>
    <n v="9.9419889502762437"/>
    <x v="0"/>
    <x v="1"/>
    <n v="107.97"/>
    <s v="Deal"/>
    <m/>
    <s v="Original Amount [EUR 10.86], Merchant Amount [EUR 10.86], Customer Amount [NOK 107.97], Status [APPROVED], Operation [DIRECT], UUID [3625705-1458732090-199] [23/03/2016 at 11:21:00]"/>
  </r>
  <r>
    <s v="3625735-1458732145-216"/>
    <s v="Spot"/>
    <s v="3625735-1458732145-216"/>
    <n v="0"/>
    <d v="2016-03-31T00:00:00"/>
    <x v="1938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5735-1458732145-216] [23/03/2016 at 11:22:00]"/>
  </r>
  <r>
    <s v="3625693-1458732069-200"/>
    <s v="Spot"/>
    <s v="3625693-1458732069-200"/>
    <n v="0"/>
    <d v="2016-03-31T00:00:00"/>
    <x v="1939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693-1458732069-200] [23/03/2016 at 11:21:00]"/>
  </r>
  <r>
    <s v="3625702-1458732087-264"/>
    <s v="Spot"/>
    <s v="3625702-1458732087-264"/>
    <n v="0"/>
    <d v="2016-03-31T00:00:00"/>
    <x v="1940"/>
    <s v="264"/>
    <s v="SELL"/>
    <n v="3.3907254361799812"/>
    <x v="0"/>
    <x v="0"/>
    <n v="73.849999999999994"/>
    <s v="Deal"/>
    <m/>
    <s v="Original Amount [TRY 70], Merchant Amount [EUR 21.78], Customer Amount [TRY 73.85], Status [APPROVED], Operation [3DAUTH], UUID [3625702-1458732087-264] [23/03/2016 at 11:21:00]"/>
  </r>
  <r>
    <s v="3625708-1458732099-126"/>
    <s v="Spot"/>
    <s v="3625708-1458732099-126"/>
    <n v="0"/>
    <d v="2016-03-31T00:00:00"/>
    <x v="1941"/>
    <s v="126"/>
    <s v="SELL"/>
    <n v="9.9414824447334205"/>
    <x v="0"/>
    <x v="1"/>
    <n v="152.9"/>
    <s v="Deal"/>
    <m/>
    <s v="Original Amount [EUR 15.38], Merchant Amount [EUR 15.38], Customer Amount [NOK 152.9], Status [APPROVED], Operation [3DAUTH], UUID [3625708-1458732099-126] [23/03/2016 at 11:21:00]"/>
  </r>
  <r>
    <s v="3625672-1458732044-56"/>
    <s v="Spot"/>
    <s v="3625672-1458732044-56"/>
    <n v="0"/>
    <d v="2016-03-31T00:00:00"/>
    <x v="1942"/>
    <s v="56"/>
    <s v="SELL"/>
    <n v="3.3976992604765819"/>
    <x v="0"/>
    <x v="0"/>
    <n v="41.35"/>
    <s v="Deal"/>
    <m/>
    <s v="Original Amount [EUR 12.17], Merchant Amount [EUR 12.17], Customer Amount [TRY 41.35], Status [WAITING], Operation [3D], UUID [3625672-1458732044-56] [23/03/2016 at 11:20:00]"/>
  </r>
  <r>
    <s v="3625669-1458732030-224"/>
    <s v="Spot"/>
    <s v="3625669-1458732030-224"/>
    <n v="0"/>
    <d v="2016-03-31T00:00:00"/>
    <x v="1943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5669-1458732030-224] [23/03/2016 at 11:20:00]"/>
  </r>
  <r>
    <s v="3625663-1458732018-187"/>
    <s v="Spot"/>
    <s v="3625663-1458732018-187"/>
    <n v="0"/>
    <d v="2016-03-31T00:00:00"/>
    <x v="1944"/>
    <s v="187"/>
    <s v="SELL"/>
    <n v="9.9412248253185371"/>
    <x v="0"/>
    <x v="1"/>
    <n v="241.87"/>
    <s v="Deal"/>
    <m/>
    <s v="Original Amount [EUR 24.33], Merchant Amount [EUR 24.33], Customer Amount [NOK 241.87], Status [APPROVED], Operation [DIRECT], UUID [3625663-1458732018-187] [23/03/2016 at 11:20:00]"/>
  </r>
  <r>
    <s v="3625657-1458732014-224"/>
    <s v="Spot"/>
    <s v="3625657-1458732014-224"/>
    <n v="0"/>
    <d v="2016-03-31T00:00:00"/>
    <x v="1945"/>
    <s v="224"/>
    <s v="SELL"/>
    <n v="9.941329856584094"/>
    <x v="0"/>
    <x v="1"/>
    <n v="305"/>
    <s v="Deal"/>
    <m/>
    <s v="Original Amount [EUR 30.68], Merchant Amount [EUR 30.68], Customer Amount [NOK 305], Status [APPROVED], Operation [DIRECT], UUID [3625657-1458732014-224] [23/03/2016 at 11:20:00]"/>
  </r>
  <r>
    <s v="3625648-1458732000-171"/>
    <s v="Spot"/>
    <s v="3625648-1458732000-171"/>
    <n v="0"/>
    <d v="2016-03-31T00:00:00"/>
    <x v="1946"/>
    <s v="171"/>
    <s v="SELL"/>
    <n v="9.9415000000000013"/>
    <x v="0"/>
    <x v="1"/>
    <n v="198.83"/>
    <s v="Deal"/>
    <m/>
    <s v="Original Amount [EUR 20], Merchant Amount [EUR 20], Customer Amount [NOK 198.83], Status [APPROVED], Operation [DIRECT], UUID [3625648-1458732000-171] [23/03/2016 at 11:20:00]"/>
  </r>
  <r>
    <s v="3625645-1458731996-224"/>
    <s v="Spot"/>
    <s v="3625645-1458731996-224"/>
    <n v="0"/>
    <d v="2016-03-31T00:00:00"/>
    <x v="1947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645-1458731996-224] [23/03/2016 at 11:19:00]"/>
  </r>
  <r>
    <s v="3625666-1458732024-216"/>
    <s v="Spot"/>
    <s v="3625666-1458732024-216"/>
    <n v="0"/>
    <d v="2016-03-31T00:00:00"/>
    <x v="1948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5666-1458732024-216] [23/03/2016 at 11:20:00]"/>
  </r>
  <r>
    <s v="3625639-1458731979-200"/>
    <s v="Spot"/>
    <s v="3625639-1458731979-200"/>
    <n v="0"/>
    <d v="2016-03-31T00:00:00"/>
    <x v="194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5639-1458731979-200] [23/03/2016 at 11:19:00]"/>
  </r>
  <r>
    <s v="3625654-1458732012-56"/>
    <s v="Spot"/>
    <s v="3625654-1458732012-56"/>
    <n v="0"/>
    <d v="2016-03-31T00:00:00"/>
    <x v="1950"/>
    <s v="56"/>
    <s v="SELL"/>
    <n v="3.3975"/>
    <x v="0"/>
    <x v="0"/>
    <n v="27.18"/>
    <s v="Deal"/>
    <m/>
    <s v="Original Amount [EUR 8], Merchant Amount [EUR 8], Customer Amount [TRY 27.18], Status [APPROVED], Operation [3DAUTH], UUID [3625654-1458732012-56] [23/03/2016 at 11:20:00]"/>
  </r>
  <r>
    <s v="3625633-1458731977-264"/>
    <s v="Spot"/>
    <s v="3625633-1458731977-264"/>
    <n v="0"/>
    <d v="2016-03-31T00:00:00"/>
    <x v="1951"/>
    <s v="264"/>
    <s v="SELL"/>
    <n v="4.2282958199356919"/>
    <x v="0"/>
    <x v="14"/>
    <n v="13.15"/>
    <s v="Deal"/>
    <m/>
    <s v="Original Amount [TRY 10], Merchant Amount [EUR 3.11], Customer Amount [BRL 13.15], Status [WAITING], Operation [3D], UUID [3625633-1458731977-264] [23/03/2016 at 11:19:00]"/>
  </r>
  <r>
    <s v="3625627-1458731969-224"/>
    <s v="Spot"/>
    <s v="3625627-1458731969-224"/>
    <n v="0"/>
    <d v="2016-03-31T00:00:00"/>
    <x v="1952"/>
    <s v="224"/>
    <s v="SELL"/>
    <n v="132.9933093154915"/>
    <x v="0"/>
    <x v="3"/>
    <n v="36176.839999999997"/>
    <s v="Deal"/>
    <m/>
    <s v="Original Amount [EUR 272.02], Merchant Amount [EUR 272.02], Customer Amount [JPY 36176.84], Status [APPROVED], Operation [DIRECT], UUID [3625627-1458731969-224] [23/03/2016 at 11:19:00]"/>
  </r>
  <r>
    <s v="3625624-1458731969-171"/>
    <s v="Spot"/>
    <s v="3625624-1458731969-171"/>
    <n v="0"/>
    <d v="2016-03-31T00:00:00"/>
    <x v="1953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5624-1458731969-171] [23/03/2016 at 11:19:00]"/>
  </r>
  <r>
    <s v="3625618-1458731958-119"/>
    <s v="Spot"/>
    <s v="3625618-1458731958-119"/>
    <n v="0"/>
    <d v="2016-03-31T00:00:00"/>
    <x v="1954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5618-1458731958-119] [23/03/2016 at 11:19:00]"/>
  </r>
  <r>
    <s v="3625615-1458731953-156"/>
    <s v="Spot"/>
    <s v="3625615-1458731953-156"/>
    <n v="0"/>
    <d v="2016-03-31T00:00:00"/>
    <x v="1955"/>
    <s v="156"/>
    <s v="SELL"/>
    <n v="132.99330038440419"/>
    <x v="0"/>
    <x v="3"/>
    <n v="24218.080000000002"/>
    <s v="Deal"/>
    <m/>
    <s v="Original Amount [EUR 182.1], Merchant Amount [EUR 182.1], Customer Amount [JPY 24218.08], Status [APPROVED], Operation [DIRECT], UUID [3625615-1458731953-156] [23/03/2016 at 11:19:00]"/>
  </r>
  <r>
    <s v="3625630-1458731973-56"/>
    <s v="Spot"/>
    <s v="3625630-1458731973-56"/>
    <n v="0"/>
    <d v="2016-03-31T00:00:00"/>
    <x v="1956"/>
    <s v="56"/>
    <s v="SELL"/>
    <n v="3.3972222222222221"/>
    <x v="0"/>
    <x v="0"/>
    <n v="48.92"/>
    <s v="Deal"/>
    <m/>
    <s v="Original Amount [EUR 14.4], Merchant Amount [EUR 14.4], Customer Amount [TRY 48.92], Status [APPROVED], Operation [3DAUTH], UUID [3625630-1458731973-56] [23/03/2016 at 11:19:00]"/>
  </r>
  <r>
    <s v="3625600-1458731942-264"/>
    <s v="Spot"/>
    <s v="3625600-1458731942-264"/>
    <n v="0"/>
    <d v="2016-03-31T00:00:00"/>
    <x v="1957"/>
    <s v="264"/>
    <s v="SELL"/>
    <n v="4.2243717462561863"/>
    <x v="0"/>
    <x v="14"/>
    <n v="657.27"/>
    <s v="Deal"/>
    <m/>
    <s v="Original Amount [TRY 500], Merchant Amount [EUR 155.59], Customer Amount [BRL 657.27], Status [WAITING], Operation [3D], UUID [3625600-1458731942-264] [23/03/2016 at 11:19:00]"/>
  </r>
  <r>
    <s v="3625591-1458731919-119"/>
    <s v="Spot"/>
    <s v="3625591-1458731919-119"/>
    <n v="0"/>
    <d v="2016-03-31T00:00:00"/>
    <x v="195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5591-1458731919-119] [23/03/2016 at 11:18:00]"/>
  </r>
  <r>
    <s v="3625612-1458731952-126"/>
    <s v="Spot"/>
    <s v="3625612-1458731952-126"/>
    <n v="0"/>
    <d v="2016-03-31T00:00:00"/>
    <x v="1959"/>
    <s v="126"/>
    <s v="SELL"/>
    <n v="9.9410731707317073"/>
    <x v="0"/>
    <x v="1"/>
    <n v="3056.88"/>
    <s v="Deal"/>
    <m/>
    <s v="Original Amount [EUR 307.5], Merchant Amount [EUR 307.5], Customer Amount [NOK 3056.88], Status [APPROVED], Operation [3DAUTH], UUID [3625612-1458731952-126] [23/03/2016 at 11:19:00]"/>
  </r>
  <r>
    <s v="3625576-1458731911-261"/>
    <s v="Spot"/>
    <s v="3625576-1458731911-261"/>
    <n v="0"/>
    <d v="2016-03-31T00:00:00"/>
    <x v="1960"/>
    <s v="261"/>
    <s v="SELL"/>
    <n v="9.9411104879416712"/>
    <x v="0"/>
    <x v="1"/>
    <n v="531.75"/>
    <s v="Deal"/>
    <m/>
    <s v="Original Amount [EUR 53.49], Merchant Amount [EUR 53.49], Customer Amount [NOK 531.75], Status [APPROVED], Operation [DIRECT], UUID [3625576-1458731911-261] [23/03/2016 at 11:18:00]"/>
  </r>
  <r>
    <s v="3625603-1458731942-216"/>
    <s v="Spot"/>
    <s v="3625603-1458731942-216"/>
    <n v="0"/>
    <d v="2016-03-31T00:00:00"/>
    <x v="1961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5603-1458731942-216] [23/03/2016 at 11:19:00]"/>
  </r>
  <r>
    <s v="3625570-1458731894-187"/>
    <s v="Spot"/>
    <s v="3625570-1458731894-187"/>
    <n v="0"/>
    <d v="2016-03-31T00:00:00"/>
    <x v="1962"/>
    <s v="187"/>
    <s v="SELL"/>
    <n v="9.9413988657844996"/>
    <x v="0"/>
    <x v="1"/>
    <n v="262.95"/>
    <s v="Deal"/>
    <m/>
    <s v="Original Amount [EUR 26.45], Merchant Amount [EUR 26.45], Customer Amount [NOK 262.95], Status [APPROVED], Operation [DIRECT], UUID [3625570-1458731894-187] [23/03/2016 at 11:18:00]"/>
  </r>
  <r>
    <s v="3625588-1458731915-216"/>
    <s v="Spot"/>
    <s v="3625588-1458731915-216"/>
    <n v="0"/>
    <d v="2016-03-31T00:00:00"/>
    <x v="1963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88-1458731915-216] [23/03/2016 at 11:18:00]"/>
  </r>
  <r>
    <s v="3625567-1458731892-264"/>
    <s v="Spot"/>
    <s v="3625567-1458731892-264"/>
    <n v="0"/>
    <d v="2016-03-31T00:00:00"/>
    <x v="1964"/>
    <s v="264"/>
    <s v="SELL"/>
    <n v="1.1827354260089686"/>
    <x v="0"/>
    <x v="7"/>
    <n v="10.55"/>
    <s v="Deal"/>
    <m/>
    <s v="Original Amount [USD 10], Merchant Amount [EUR 8.92], Customer Amount [USD 10.55], Status [APPROVED], Operation [3DAUTH], UUID [3625567-1458731892-264] [23/03/2016 at 11:18:00]"/>
  </r>
  <r>
    <s v="3625552-1458731870-82"/>
    <s v="Spot"/>
    <s v="3625552-1458731870-82"/>
    <n v="0"/>
    <d v="2016-03-31T00:00:00"/>
    <x v="1965"/>
    <s v="82"/>
    <s v="BUY"/>
    <n v="1"/>
    <x v="0"/>
    <x v="4"/>
    <n v="0.01"/>
    <s v="Deal"/>
    <m/>
    <s v="Original Amount [GBP 0.01], Merchant Amount [EUR 0.01], Customer Amount [GBP 0.01], Status [APPROVED], Operation [REFUND], UUID [3625552-1458731870-82] [23/03/2016 at 11:17:00]"/>
  </r>
  <r>
    <s v="3625549-1458731866-82"/>
    <s v="Spot"/>
    <s v="3625549-1458731866-82"/>
    <n v="0"/>
    <d v="2016-03-31T00:00:00"/>
    <x v="1966"/>
    <s v="82"/>
    <s v="SELL"/>
    <n v="1"/>
    <x v="0"/>
    <x v="4"/>
    <n v="0.01"/>
    <s v="Deal"/>
    <m/>
    <s v="Original Amount [GBP 0.01], Merchant Amount [EUR 0.01], Customer Amount [GBP 0.01], Status [APPROVED], Operation [STORED], UUID [3625549-1458731866-82] [23/03/2016 at 11:17:00]"/>
  </r>
  <r>
    <s v="3625522-1458731833-261"/>
    <s v="Spot"/>
    <s v="3625522-1458731833-261"/>
    <n v="0"/>
    <d v="2016-03-31T00:00:00"/>
    <x v="1967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5522-1458731833-261] [23/03/2016 at 11:17:00]"/>
  </r>
  <r>
    <s v="3625555-1458731871-216"/>
    <s v="Spot"/>
    <s v="3625555-1458731871-216"/>
    <n v="0"/>
    <d v="2016-03-31T00:00:00"/>
    <x v="1968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55-1458731871-216] [23/03/2016 at 11:17:00]"/>
  </r>
  <r>
    <s v="3625558-1458731877-216"/>
    <s v="Spot"/>
    <s v="3625558-1458731877-216"/>
    <n v="0"/>
    <d v="2016-03-31T00:00:00"/>
    <x v="1969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58-1458731877-216] [23/03/2016 at 11:17:00]"/>
  </r>
  <r>
    <s v="3625546-1458731863-107"/>
    <s v="Spot"/>
    <s v="3625546-1458731863-107"/>
    <n v="0"/>
    <d v="2016-03-31T00:00:00"/>
    <x v="1970"/>
    <s v="107"/>
    <s v="SELL"/>
    <n v="3.3969185619955975"/>
    <x v="0"/>
    <x v="0"/>
    <n v="46.3"/>
    <s v="Deal"/>
    <m/>
    <s v="Original Amount [EUR 13.63], Merchant Amount [EUR 13.63], Customer Amount [TRY 46.3], Status [APPROVED], Operation [3DAUTH], UUID [3625546-1458731863-107] [23/03/2016 at 11:17:00]"/>
  </r>
  <r>
    <s v="3625594-1458731938-216"/>
    <s v="Spot"/>
    <s v="3625594-1458731938-216"/>
    <n v="0"/>
    <d v="2016-03-31T00:00:00"/>
    <x v="1971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94-1458731938-216] [23/03/2016 at 11:18:00]"/>
  </r>
  <r>
    <s v="3625525-1458731847-216"/>
    <s v="Spot"/>
    <s v="3625525-1458731847-216"/>
    <n v="0"/>
    <d v="2016-03-31T00:00:00"/>
    <x v="1972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5525-1458731847-216] [23/03/2016 at 11:17:00]"/>
  </r>
  <r>
    <s v="3625531-1458731848-216"/>
    <s v="Spot"/>
    <s v="3625531-1458731848-216"/>
    <n v="0"/>
    <d v="2016-03-31T00:00:00"/>
    <x v="197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531-1458731848-216] [23/03/2016 at 11:17:00]"/>
  </r>
  <r>
    <s v="3625480-1458731809-187"/>
    <s v="Spot"/>
    <s v="3625480-1458731809-187"/>
    <n v="0"/>
    <d v="2016-03-31T00:00:00"/>
    <x v="1974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5480-1458731809-187] [23/03/2016 at 11:16:00]"/>
  </r>
  <r>
    <s v="3625513-1458731825-107"/>
    <s v="Spot"/>
    <s v="3625513-1458731825-107"/>
    <n v="0"/>
    <d v="2016-03-31T00:00:00"/>
    <x v="1975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513-1458731825-107] [23/03/2016 at 11:17:00]"/>
  </r>
  <r>
    <s v="3625510-1458731824-216"/>
    <s v="Spot"/>
    <s v="3625510-1458731824-216"/>
    <n v="0"/>
    <d v="2016-03-31T00:00:00"/>
    <x v="1976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510-1458731824-216] [23/03/2016 at 11:17:00]"/>
  </r>
  <r>
    <s v="3625537-1458731851-107"/>
    <s v="Spot"/>
    <s v="3625537-1458731851-107"/>
    <n v="0"/>
    <d v="2016-03-31T00:00:00"/>
    <x v="1977"/>
    <s v="107"/>
    <s v="SELL"/>
    <n v="3.3970303421562296"/>
    <x v="0"/>
    <x v="0"/>
    <n v="52.62"/>
    <s v="Deal"/>
    <m/>
    <s v="Original Amount [EUR 15.49], Merchant Amount [EUR 15.49], Customer Amount [TRY 52.62], Status [APPROVED], Operation [3DAUTH], UUID [3625537-1458731851-107] [23/03/2016 at 11:17:00]"/>
  </r>
  <r>
    <s v="3625462-1458731787-199"/>
    <s v="Spot"/>
    <s v="3625462-1458731787-199"/>
    <n v="0"/>
    <d v="2016-03-31T00:00:00"/>
    <x v="1978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462-1458731787-199] [23/03/2016 at 11:16:00]"/>
  </r>
  <r>
    <s v="3625456-1458731778-224"/>
    <s v="Spot"/>
    <s v="3625456-1458731778-224"/>
    <n v="0"/>
    <d v="2016-03-31T00:00:00"/>
    <x v="1979"/>
    <s v="224"/>
    <s v="SELL"/>
    <n v="9.9422365988909434"/>
    <x v="0"/>
    <x v="1"/>
    <n v="215.15"/>
    <s v="Deal"/>
    <m/>
    <s v="Original Amount [EUR 21.64], Merchant Amount [EUR 21.64], Customer Amount [NOK 215.15], Status [APPROVED], Operation [DIRECT], UUID [3625456-1458731778-224] [23/03/2016 at 11:16:00]"/>
  </r>
  <r>
    <s v="3625450-1458731774-224"/>
    <s v="Spot"/>
    <s v="3625450-1458731774-224"/>
    <n v="0"/>
    <d v="2016-03-31T00:00:00"/>
    <x v="1980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5450-1458731774-224] [23/03/2016 at 11:16:00]"/>
  </r>
  <r>
    <s v="3625447-1458731766-216"/>
    <s v="Spot"/>
    <s v="3625447-1458731766-216"/>
    <n v="0"/>
    <d v="2016-03-31T00:00:00"/>
    <x v="1981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447-1458731766-216] [23/03/2016 at 11:16:00]"/>
  </r>
  <r>
    <s v="3625492-1458731813-119"/>
    <s v="Spot"/>
    <s v="3625492-1458731813-119"/>
    <n v="0"/>
    <d v="2016-03-31T00:00:00"/>
    <x v="1982"/>
    <s v="119"/>
    <s v="SELL"/>
    <n v="9.9417999999999989"/>
    <x v="0"/>
    <x v="1"/>
    <n v="497.09"/>
    <s v="Deal"/>
    <m/>
    <s v="Original Amount [EUR 50], Merchant Amount [EUR 50], Customer Amount [NOK 497.09], Status [APPROVED], Operation [3DAUTH], UUID [3625492-1458731813-119] [23/03/2016 at 11:16:00]"/>
  </r>
  <r>
    <s v="3625435-1458731747-82"/>
    <s v="Spot"/>
    <s v="3625435-1458731747-82"/>
    <n v="0"/>
    <d v="2016-03-31T00:00:00"/>
    <x v="1983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435-1458731747-82] [23/03/2016 at 11:15:00]"/>
  </r>
  <r>
    <s v="3625453-1458731778-216"/>
    <s v="Spot"/>
    <s v="3625453-1458731778-216"/>
    <n v="0"/>
    <d v="2016-03-31T00:00:00"/>
    <x v="1984"/>
    <s v="216"/>
    <s v="SELL"/>
    <n v="3.3966127130453425"/>
    <x v="0"/>
    <x v="0"/>
    <n v="316.87"/>
    <s v="Deal"/>
    <m/>
    <s v="Original Amount [EUR 93.29], Merchant Amount [EUR 93.29], Customer Amount [TRY 316.87], Status [APPROVED], Operation [3DAUTH], UUID [3625453-1458731778-216] [23/03/2016 at 11:16:00]"/>
  </r>
  <r>
    <s v="3625474-1458731798-124"/>
    <s v="Spot"/>
    <s v="3625474-1458731798-124"/>
    <n v="0"/>
    <d v="2016-03-31T00:00:00"/>
    <x v="1985"/>
    <s v="124"/>
    <s v="SELL"/>
    <n v="9.942439024390243"/>
    <x v="0"/>
    <x v="1"/>
    <n v="101.91"/>
    <s v="Deal"/>
    <m/>
    <s v="Original Amount [EUR 10.25], Merchant Amount [EUR 10.25], Customer Amount [NOK 101.91], Status [APPROVED], Operation [3DAUTH], UUID [3625474-1458731798-124] [23/03/2016 at 11:16:00]"/>
  </r>
  <r>
    <s v="3625423-1458731736-82"/>
    <s v="Spot"/>
    <s v="3625423-1458731736-82"/>
    <n v="0"/>
    <d v="2016-03-31T00:00:00"/>
    <x v="198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5423-1458731736-82] [23/03/2016 at 11:15:00]"/>
  </r>
  <r>
    <s v="3625396-1458731690-199"/>
    <s v="Spot"/>
    <s v="3625396-1458731690-199"/>
    <n v="0"/>
    <d v="2016-03-31T00:00:00"/>
    <x v="1987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5396-1458731690-199] [23/03/2016 at 11:14:00]"/>
  </r>
  <r>
    <s v="3625405-1458731707-56"/>
    <s v="Spot"/>
    <s v="3625405-1458731707-56"/>
    <n v="0"/>
    <d v="2016-03-31T00:00:00"/>
    <x v="1988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5405-1458731707-56] [23/03/2016 at 11:15:00]"/>
  </r>
  <r>
    <s v="3625387-1458731679-264"/>
    <s v="Spot"/>
    <s v="3625387-1458731679-264"/>
    <n v="0"/>
    <d v="2016-03-31T00:00:00"/>
    <x v="1989"/>
    <s v="264"/>
    <s v="SELL"/>
    <n v="1.1827057182705718"/>
    <x v="0"/>
    <x v="7"/>
    <n v="110.24"/>
    <s v="Deal"/>
    <m/>
    <s v="Original Amount [TRY 300], Merchant Amount [EUR 93.21], Customer Amount [USD 110.24], Status [WAITING], Operation [3D], UUID [3625387-1458731679-264] [23/03/2016 at 11:14:00]"/>
  </r>
  <r>
    <s v="3625381-1458731672-82"/>
    <s v="Spot"/>
    <s v="3625381-1458731672-82"/>
    <n v="0"/>
    <d v="2016-03-31T00:00:00"/>
    <x v="1990"/>
    <s v="82"/>
    <s v="SELL"/>
    <n v="1.1870503597122302"/>
    <x v="0"/>
    <x v="7"/>
    <n v="16.5"/>
    <s v="Deal"/>
    <m/>
    <s v="Original Amount [USD 16.5], Merchant Amount [EUR 13.9], Customer Amount [USD 16.5], Status [APPROVED], Operation [DIRECT], UUID [3625381-1458731672-82] [23/03/2016 at 11:14:00]"/>
  </r>
  <r>
    <s v="3625444-1458731762-101"/>
    <s v="Spot"/>
    <s v="3625444-1458731762-101"/>
    <n v="0"/>
    <d v="2016-03-31T00:00:00"/>
    <x v="1991"/>
    <s v="101"/>
    <s v="SELL"/>
    <n v="3.3920308483290484"/>
    <x v="0"/>
    <x v="0"/>
    <n v="184.73"/>
    <s v="Deal"/>
    <m/>
    <s v="Original Amount [EUR 54.46], Merchant Amount [EUR 54.46], Customer Amount [TRY 184.73], Status [APPROVED], Operation [3DAUTH], UUID [3625444-1458731762-101] [23/03/2016 at 11:16:00]"/>
  </r>
  <r>
    <s v="3625399-1458731694-264"/>
    <s v="Spot"/>
    <s v="3625399-1458731694-264"/>
    <n v="0"/>
    <d v="2016-03-31T00:00:00"/>
    <x v="1992"/>
    <s v="264"/>
    <s v="SELL"/>
    <n v="3.3959227467811157"/>
    <x v="0"/>
    <x v="0"/>
    <n v="31.65"/>
    <s v="Deal"/>
    <m/>
    <s v="Original Amount [TRY 30], Merchant Amount [EUR 9.32], Customer Amount [TRY 31.65], Status [APPROVED], Operation [3DAUTH], UUID [3625399-1458731694-264] [23/03/2016 at 11:14:00]"/>
  </r>
  <r>
    <s v="3625369-1458731657-119"/>
    <s v="Spot"/>
    <s v="3625369-1458731657-119"/>
    <n v="0"/>
    <d v="2016-03-31T00:00:00"/>
    <x v="1993"/>
    <s v="119"/>
    <s v="SELL"/>
    <n v="9.9417999999999989"/>
    <x v="0"/>
    <x v="1"/>
    <n v="497.09"/>
    <s v="Deal"/>
    <m/>
    <s v="Original Amount [EUR 50], Merchant Amount [EUR 50], Customer Amount [NOK 497.09], Status [APPROVED], Operation [DIRECT], UUID [3625369-1458731657-119] [23/03/2016 at 11:14:00]"/>
  </r>
  <r>
    <s v="3625393-1458731689-119"/>
    <s v="Spot"/>
    <s v="3625393-1458731689-119"/>
    <n v="0"/>
    <d v="2016-03-31T00:00:00"/>
    <x v="19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5393-1458731689-119] [23/03/2016 at 11:14:00]"/>
  </r>
  <r>
    <s v="3625360-1458731638-199"/>
    <s v="Spot"/>
    <s v="3625360-1458731638-199"/>
    <n v="0"/>
    <d v="2016-03-31T00:00:00"/>
    <x v="1995"/>
    <s v="199"/>
    <s v="SELL"/>
    <n v="9.9418262150220897"/>
    <x v="0"/>
    <x v="1"/>
    <n v="270.02"/>
    <s v="Deal"/>
    <m/>
    <s v="Original Amount [EUR 27.16], Merchant Amount [EUR 27.16], Customer Amount [NOK 270.02], Status [APPROVED], Operation [DIRECT], UUID [3625360-1458731638-199] [23/03/2016 at 11:13:00]"/>
  </r>
  <r>
    <s v="3625357-1458731630-82"/>
    <s v="Spot"/>
    <s v="3625357-1458731630-82"/>
    <n v="0"/>
    <d v="2016-03-31T00:00:00"/>
    <x v="1996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357-1458731630-82] [23/03/2016 at 11:13:00]"/>
  </r>
  <r>
    <s v="3625354-1458731620-216"/>
    <s v="Spot"/>
    <s v="3625354-1458731620-216"/>
    <n v="0"/>
    <d v="2016-03-31T00:00:00"/>
    <x v="1997"/>
    <s v="216"/>
    <s v="SELL"/>
    <n v="3.3924632352941173"/>
    <x v="0"/>
    <x v="0"/>
    <n v="36.909999999999997"/>
    <s v="Deal"/>
    <m/>
    <s v="Original Amount [EUR 10.88], Merchant Amount [EUR 10.88], Customer Amount [TRY 36.91], Status [WAITING], Operation [3D], UUID [3625354-1458731620-216] [23/03/2016 at 11:13:00]"/>
  </r>
  <r>
    <s v="3625351-1458731619-224"/>
    <s v="Spot"/>
    <s v="3625351-1458731619-224"/>
    <n v="0"/>
    <d v="2016-03-31T00:00:00"/>
    <x v="1998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5351-1458731619-224] [23/03/2016 at 11:13:00]"/>
  </r>
  <r>
    <s v="3625342-1458731605-82"/>
    <s v="Spot"/>
    <s v="3625342-1458731605-82"/>
    <n v="0"/>
    <d v="2016-03-31T00:00:00"/>
    <x v="1999"/>
    <s v="82"/>
    <s v="SELL"/>
    <n v="1.1870814430762584"/>
    <x v="0"/>
    <x v="7"/>
    <n v="54.95"/>
    <s v="Deal"/>
    <m/>
    <s v="Original Amount [USD 54.95], Merchant Amount [EUR 46.29], Customer Amount [USD 54.95], Status [APPROVED], Operation [DIRECT], UUID [3625342-1458731605-82] [23/03/2016 at 11:13:00]"/>
  </r>
  <r>
    <s v="3625336-1458731602-224"/>
    <s v="Spot"/>
    <s v="3625336-1458731602-224"/>
    <n v="0"/>
    <d v="2016-03-31T00:00:00"/>
    <x v="2000"/>
    <s v="224"/>
    <s v="SELL"/>
    <n v="9.9422187981510017"/>
    <x v="0"/>
    <x v="1"/>
    <n v="129.05000000000001"/>
    <s v="Deal"/>
    <m/>
    <s v="Original Amount [EUR 12.98], Merchant Amount [EUR 12.98], Customer Amount [NOK 129.05], Status [APPROVED], Operation [DIRECT], UUID [3625336-1458731602-224] [23/03/2016 at 11:13:00]"/>
  </r>
  <r>
    <s v="3625333-1458731596-82"/>
    <s v="Spot"/>
    <s v="3625333-1458731596-82"/>
    <n v="0"/>
    <d v="2016-03-31T00:00:00"/>
    <x v="2001"/>
    <s v="82"/>
    <s v="SELL"/>
    <n v="1.187018701870187"/>
    <x v="0"/>
    <x v="7"/>
    <n v="53.95"/>
    <s v="Deal"/>
    <m/>
    <s v="Original Amount [USD 53.95], Merchant Amount [EUR 45.45], Customer Amount [USD 53.95], Status [APPROVED], Operation [DIRECT], UUID [3625333-1458731596-82] [23/03/2016 at 11:13:00]"/>
  </r>
  <r>
    <s v="3625321-1458731592-107"/>
    <s v="Spot"/>
    <s v="3625321-1458731592-107"/>
    <n v="0"/>
    <d v="2016-03-31T00:00:00"/>
    <x v="2002"/>
    <s v="107"/>
    <s v="SELL"/>
    <n v="3.3923959827833574"/>
    <x v="0"/>
    <x v="0"/>
    <n v="47.29"/>
    <s v="Deal"/>
    <m/>
    <s v="Original Amount [EUR 13.94], Merchant Amount [EUR 13.94], Customer Amount [TRY 47.29], Status [WAITING], Operation [3D], UUID [3625321-1458731592-107] [23/03/2016 at 11:13:00]"/>
  </r>
  <r>
    <s v="3625363-1458731642-107"/>
    <s v="Spot"/>
    <s v="3625363-1458731642-107"/>
    <n v="0"/>
    <d v="2016-03-31T00:00:00"/>
    <x v="2003"/>
    <s v="107"/>
    <s v="SELL"/>
    <n v="3.3919733161179257"/>
    <x v="0"/>
    <x v="0"/>
    <n v="315.25"/>
    <s v="Deal"/>
    <m/>
    <s v="Original Amount [EUR 92.94], Merchant Amount [EUR 92.94], Customer Amount [TRY 315.25], Status [APPROVED], Operation [3DAUTH], UUID [3625363-1458731642-107] [23/03/2016 at 11:14:00]"/>
  </r>
  <r>
    <s v="3625348-1458731616-216"/>
    <s v="Spot"/>
    <s v="3625348-1458731616-216"/>
    <n v="0"/>
    <d v="2016-03-31T00:00:00"/>
    <x v="200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5348-1458731616-216] [23/03/2016 at 11:13:00]"/>
  </r>
  <r>
    <s v="3625330-1458731594-150"/>
    <s v="Spot"/>
    <s v="3625330-1458731594-150"/>
    <n v="0"/>
    <d v="2016-03-31T00:00:00"/>
    <x v="2005"/>
    <s v="150"/>
    <s v="SELL"/>
    <n v="3.392396907216495"/>
    <x v="0"/>
    <x v="0"/>
    <n v="52.65"/>
    <s v="Deal"/>
    <m/>
    <s v="Original Amount [EUR 15.52], Merchant Amount [EUR 15.52], Customer Amount [TRY 52.65], Status [APPROVED], Operation [3DAUTH], UUID [3625330-1458731594-150] [23/03/2016 at 11:13:00]"/>
  </r>
  <r>
    <s v="3625297-1458731570-200"/>
    <s v="Spot"/>
    <s v="3625297-1458731570-200"/>
    <n v="0"/>
    <d v="2016-03-31T00:00:00"/>
    <x v="2006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5297-1458731570-200] [23/03/2016 at 11:12:00]"/>
  </r>
  <r>
    <s v="3625285-1458731566-82"/>
    <s v="Spot"/>
    <s v="3625285-1458731566-82"/>
    <n v="0"/>
    <d v="2016-03-31T00:00:00"/>
    <x v="200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5285-1458731566-82] [23/03/2016 at 11:12:00]"/>
  </r>
  <r>
    <s v="3625318-1458731591-216"/>
    <s v="Spot"/>
    <s v="3625318-1458731591-216"/>
    <n v="0"/>
    <d v="2016-03-31T00:00:00"/>
    <x v="2008"/>
    <s v="216"/>
    <s v="SELL"/>
    <n v="3.3924632352941173"/>
    <x v="0"/>
    <x v="0"/>
    <n v="36.909999999999997"/>
    <s v="Deal"/>
    <m/>
    <s v="Original Amount [EUR 10.88], Merchant Amount [EUR 10.88], Customer Amount [TRY 36.91], Status [APPROVED], Operation [3DAUTH], UUID [3625318-1458731591-216] [23/03/2016 at 11:13:00]"/>
  </r>
  <r>
    <s v="3625270-1458731554-216"/>
    <s v="Spot"/>
    <s v="3625270-1458731554-216"/>
    <n v="0"/>
    <d v="2016-03-31T00:00:00"/>
    <x v="2009"/>
    <s v="216"/>
    <s v="SELL"/>
    <n v="3.3924231593995713"/>
    <x v="0"/>
    <x v="0"/>
    <n v="47.46"/>
    <s v="Deal"/>
    <m/>
    <s v="Original Amount [EUR 13.99], Merchant Amount [EUR 13.99], Customer Amount [TRY 47.46], Status [WAITING], Operation [3D], UUID [3625270-1458731554-216] [23/03/2016 at 11:12:00]"/>
  </r>
  <r>
    <s v="3625264-1458731551-82"/>
    <s v="Spot"/>
    <s v="3625264-1458731551-82"/>
    <n v="0"/>
    <d v="2016-03-31T00:00:00"/>
    <x v="201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5264-1458731551-82] [23/03/2016 at 11:12:00]"/>
  </r>
  <r>
    <s v="3625258-1458731550-224"/>
    <s v="Spot"/>
    <s v="3625258-1458731550-224"/>
    <n v="0"/>
    <d v="2016-03-31T00:00:00"/>
    <x v="2011"/>
    <s v="224"/>
    <s v="SELL"/>
    <n v="132.99342105263156"/>
    <x v="0"/>
    <x v="3"/>
    <n v="1819.35"/>
    <s v="Deal"/>
    <m/>
    <s v="Original Amount [EUR 13.68], Merchant Amount [EUR 13.68], Customer Amount [JPY 1819.35], Status [APPROVED], Operation [DIRECT], UUID [3625258-1458731550-224] [23/03/2016 at 11:12:00]"/>
  </r>
  <r>
    <s v="3625252-1458731538-224"/>
    <s v="Spot"/>
    <s v="3625252-1458731538-224"/>
    <n v="0"/>
    <d v="2016-03-31T00:00:00"/>
    <x v="201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5252-1458731538-224] [23/03/2016 at 11:12:00]"/>
  </r>
  <r>
    <s v="3625312-1458731584-216"/>
    <s v="Spot"/>
    <s v="3625312-1458731584-216"/>
    <n v="0"/>
    <d v="2016-03-31T00:00:00"/>
    <x v="2013"/>
    <s v="216"/>
    <s v="SELL"/>
    <n v="3.3919536944404745"/>
    <x v="0"/>
    <x v="0"/>
    <n v="949.34"/>
    <s v="Deal"/>
    <m/>
    <s v="Original Amount [EUR 279.88], Merchant Amount [EUR 279.88], Customer Amount [TRY 949.34], Status [APPROVED], Operation [3DAUTH], UUID [3625312-1458731584-216] [23/03/2016 at 11:13:00]"/>
  </r>
  <r>
    <s v="3625240-1458731531-216"/>
    <s v="Spot"/>
    <s v="3625240-1458731531-216"/>
    <n v="0"/>
    <d v="2016-03-31T00:00:00"/>
    <x v="2014"/>
    <s v="216"/>
    <s v="SELL"/>
    <n v="3.3970588235294117"/>
    <x v="0"/>
    <x v="0"/>
    <n v="36.96"/>
    <s v="Deal"/>
    <m/>
    <s v="Original Amount [EUR 10.88], Merchant Amount [EUR 10.88], Customer Amount [TRY 36.96], Status [APPROVED], Operation [3DAUTH], UUID [3625240-1458731531-216] [23/03/2016 at 11:12:00]"/>
  </r>
  <r>
    <s v="3625234-1458731521-216"/>
    <s v="Spot"/>
    <s v="3625234-1458731521-216"/>
    <n v="0"/>
    <d v="2016-03-31T00:00:00"/>
    <x v="2015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234-1458731521-216] [23/03/2016 at 11:12:00]"/>
  </r>
  <r>
    <s v="3625222-1458731511-124"/>
    <s v="Spot"/>
    <s v="3625222-1458731511-124"/>
    <n v="0"/>
    <d v="2016-03-31T00:00:00"/>
    <x v="2016"/>
    <s v="124"/>
    <s v="SELL"/>
    <n v="9.9545644599303138"/>
    <x v="0"/>
    <x v="1"/>
    <n v="1428.48"/>
    <s v="Deal"/>
    <m/>
    <s v="Original Amount [EUR 143.5], Merchant Amount [EUR 143.5], Customer Amount [NOK 1428.48], Status [APPROVED], Operation [3DAUTH], UUID [3625222-1458731511-124] [23/03/2016 at 11:11:00]"/>
  </r>
  <r>
    <s v="3625195-1458731480-224"/>
    <s v="Spot"/>
    <s v="3625195-1458731480-224"/>
    <n v="0"/>
    <d v="2016-03-31T00:00:00"/>
    <x v="2017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5195-1458731480-224] [23/03/2016 at 11:11:00]"/>
  </r>
  <r>
    <s v="3625192-1458731477-238"/>
    <s v="Spot"/>
    <s v="3625192-1458731477-238"/>
    <n v="0"/>
    <d v="2016-03-31T00:00:00"/>
    <x v="201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92-1458731477-238] [23/03/2016 at 11:11:00]"/>
  </r>
  <r>
    <s v="3625180-1458731471-125"/>
    <s v="Spot"/>
    <s v="3625180-1458731471-125"/>
    <n v="0"/>
    <d v="2016-03-31T00:00:00"/>
    <x v="2019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80-1458731471-125] [23/03/2016 at 11:11:00]"/>
  </r>
  <r>
    <s v="3625177-1458731464-199"/>
    <s v="Spot"/>
    <s v="3625177-1458731464-199"/>
    <n v="0"/>
    <d v="2016-03-31T00:00:00"/>
    <x v="2020"/>
    <s v="199"/>
    <s v="SELL"/>
    <n v="9.9545724465558187"/>
    <x v="0"/>
    <x v="1"/>
    <n v="335.27"/>
    <s v="Deal"/>
    <m/>
    <s v="Original Amount [EUR 33.68], Merchant Amount [EUR 33.68], Customer Amount [NOK 335.27], Status [APPROVED], Operation [DIRECT], UUID [3625177-1458731464-199] [23/03/2016 at 11:11:00]"/>
  </r>
  <r>
    <s v="3625162-1458731450-125"/>
    <s v="Spot"/>
    <s v="3625162-1458731450-125"/>
    <n v="0"/>
    <d v="2016-03-31T00:00:00"/>
    <x v="2021"/>
    <s v="125"/>
    <s v="SELL"/>
    <n v="132.99329999999998"/>
    <x v="0"/>
    <x v="3"/>
    <n v="66496.649999999994"/>
    <s v="Deal"/>
    <m/>
    <s v="Original Amount [EUR 500], Merchant Amount [EUR 500], Customer Amount [JPY 66496.65], Status [APPROVED], Operation [DIRECT], UUID [3625162-1458731450-125] [23/03/2016 at 11:10:00]"/>
  </r>
  <r>
    <s v="3625159-1458731449-216"/>
    <s v="Spot"/>
    <s v="3625159-1458731449-216"/>
    <n v="0"/>
    <d v="2016-03-31T00:00:00"/>
    <x v="2022"/>
    <s v="216"/>
    <s v="SELL"/>
    <n v="3.3969252271139063"/>
    <x v="0"/>
    <x v="0"/>
    <n v="48.61"/>
    <s v="Deal"/>
    <m/>
    <s v="Original Amount [EUR 14.31], Merchant Amount [EUR 14.31], Customer Amount [TRY 48.61], Status [WAITING], Operation [3D], UUID [3625159-1458731449-216] [23/03/2016 at 11:10:00]"/>
  </r>
  <r>
    <s v="3625171-1458731463-216"/>
    <s v="Spot"/>
    <s v="3625171-1458731463-216"/>
    <n v="0"/>
    <d v="2016-03-31T00:00:00"/>
    <x v="2023"/>
    <s v="216"/>
    <s v="SELL"/>
    <n v="3.3967845659163984"/>
    <x v="0"/>
    <x v="0"/>
    <n v="105.64"/>
    <s v="Deal"/>
    <m/>
    <s v="Original Amount [EUR 31.1], Merchant Amount [EUR 31.1], Customer Amount [TRY 105.64], Status [APPROVED], Operation [3DAUTH], UUID [3625171-1458731463-216] [23/03/2016 at 11:11:00]"/>
  </r>
  <r>
    <s v="3625150-1458731427-119"/>
    <s v="Spot"/>
    <s v="3625150-1458731427-119"/>
    <n v="0"/>
    <d v="2016-03-31T00:00:00"/>
    <x v="2024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5150-1458731427-119] [23/03/2016 at 11:10:00]"/>
  </r>
  <r>
    <s v="3625147-1458731420-238"/>
    <s v="Spot"/>
    <s v="3625147-1458731420-238"/>
    <n v="0"/>
    <d v="2016-03-31T00:00:00"/>
    <x v="202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5147-1458731420-238] [23/03/2016 at 11:10:00]"/>
  </r>
  <r>
    <s v="3625144-1458731416-56"/>
    <s v="Spot"/>
    <s v="3625144-1458731416-56"/>
    <n v="0"/>
    <d v="2016-03-31T00:00:00"/>
    <x v="2026"/>
    <s v="56"/>
    <s v="SELL"/>
    <n v="3.3966701352757549"/>
    <x v="0"/>
    <x v="0"/>
    <n v="326.42"/>
    <s v="Deal"/>
    <m/>
    <s v="Original Amount [EUR 96.1], Merchant Amount [EUR 96.1], Customer Amount [TRY 326.42], Status [WAITING], Operation [3D], UUID [3625144-1458731416-56] [23/03/2016 at 11:10:00]"/>
  </r>
  <r>
    <s v="3625156-1458731436-107"/>
    <s v="Spot"/>
    <s v="3625156-1458731436-107"/>
    <n v="0"/>
    <d v="2016-03-31T00:00:00"/>
    <x v="2027"/>
    <s v="107"/>
    <s v="SELL"/>
    <n v="3.396707553260168"/>
    <x v="0"/>
    <x v="0"/>
    <n v="105.23"/>
    <s v="Deal"/>
    <m/>
    <s v="Original Amount [EUR 30.98], Merchant Amount [EUR 30.98], Customer Amount [TRY 105.23], Status [APPROVED], Operation [3DAUTH], UUID [3625156-1458731436-107] [23/03/2016 at 11:10:00]"/>
  </r>
  <r>
    <s v="3625129-1458731396-224"/>
    <s v="Spot"/>
    <s v="3625129-1458731396-224"/>
    <n v="0"/>
    <d v="2016-03-31T00:00:00"/>
    <x v="2028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5129-1458731396-224] [23/03/2016 at 11:09:00]"/>
  </r>
  <r>
    <s v="3625141-1458731415-150"/>
    <s v="Spot"/>
    <s v="3625141-1458731415-150"/>
    <n v="0"/>
    <d v="2016-03-31T00:00:00"/>
    <x v="2029"/>
    <s v="150"/>
    <s v="SELL"/>
    <n v="3.3965953531170925"/>
    <x v="0"/>
    <x v="0"/>
    <n v="295.3"/>
    <s v="Deal"/>
    <m/>
    <s v="Original Amount [EUR 86.94], Merchant Amount [EUR 86.94], Customer Amount [TRY 295.3], Status [APPROVED], Operation [3DAUTH], UUID [3625141-1458731415-150] [23/03/2016 at 11:10:00]"/>
  </r>
  <r>
    <s v="3625132-1458731404-101"/>
    <s v="Spot"/>
    <s v="3625132-1458731404-101"/>
    <n v="0"/>
    <d v="2016-03-31T00:00:00"/>
    <x v="2030"/>
    <s v="101"/>
    <s v="SELL"/>
    <n v="3.3966701352757549"/>
    <x v="0"/>
    <x v="0"/>
    <n v="326.42"/>
    <s v="Deal"/>
    <m/>
    <s v="Original Amount [EUR 96.1], Merchant Amount [EUR 96.1], Customer Amount [TRY 326.42], Status [APPROVED], Operation [3DAUTH], UUID [3625132-1458731404-101] [23/03/2016 at 11:10:00]"/>
  </r>
  <r>
    <s v="3625114-1458731376-224"/>
    <s v="Spot"/>
    <s v="3625114-1458731376-224"/>
    <n v="0"/>
    <d v="2016-03-31T00:00:00"/>
    <x v="203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5114-1458731376-224] [23/03/2016 at 11:09:00]"/>
  </r>
  <r>
    <s v="3625108-1458731357-187"/>
    <s v="Spot"/>
    <s v="3625108-1458731357-187"/>
    <n v="0"/>
    <d v="2016-03-31T00:00:00"/>
    <x v="2032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5108-1458731357-187] [23/03/2016 at 11:09:00]"/>
  </r>
  <r>
    <s v="3625090-1458731343-224"/>
    <s v="Spot"/>
    <s v="3625090-1458731343-224"/>
    <n v="0"/>
    <d v="2016-03-31T00:00:00"/>
    <x v="2033"/>
    <s v="224"/>
    <s v="SELL"/>
    <n v="9.9545808208519748"/>
    <x v="0"/>
    <x v="1"/>
    <n v="2047.06"/>
    <s v="Deal"/>
    <m/>
    <s v="Original Amount [EUR 205.64], Merchant Amount [EUR 205.64], Customer Amount [NOK 2047.06], Status [APPROVED], Operation [DIRECT], UUID [3625090-1458731343-224] [23/03/2016 at 11:09:00]"/>
  </r>
  <r>
    <s v="3625105-1458731352-107"/>
    <s v="Spot"/>
    <s v="3625105-1458731352-107"/>
    <n v="0"/>
    <d v="2016-03-31T00:00:00"/>
    <x v="2034"/>
    <s v="107"/>
    <s v="SELL"/>
    <n v="3.3958333333333335"/>
    <x v="0"/>
    <x v="0"/>
    <n v="40.75"/>
    <s v="Deal"/>
    <m/>
    <s v="Original Amount [EUR 12], Merchant Amount [EUR 12], Customer Amount [TRY 40.75], Status [APPROVED], Operation [3DAUTH], UUID [3625105-1458731352-107] [23/03/2016 at 11:09:00]"/>
  </r>
  <r>
    <s v="3625093-1458731343-216"/>
    <s v="Spot"/>
    <s v="3625093-1458731343-216"/>
    <n v="0"/>
    <d v="2016-03-31T00:00:00"/>
    <x v="2035"/>
    <s v="216"/>
    <s v="SELL"/>
    <n v="3.3958199356913181"/>
    <x v="0"/>
    <x v="0"/>
    <n v="105.61"/>
    <s v="Deal"/>
    <m/>
    <s v="Original Amount [EUR 31.1], Merchant Amount [EUR 31.1], Customer Amount [TRY 105.61], Status [APPROVED], Operation [3DAUTH], UUID [3625093-1458731343-216] [23/03/2016 at 11:09:00]"/>
  </r>
  <r>
    <s v="3625066-1458731308-126"/>
    <s v="Spot"/>
    <s v="3625066-1458731308-126"/>
    <n v="0"/>
    <d v="2016-03-31T00:00:00"/>
    <x v="2036"/>
    <s v="126"/>
    <s v="SELL"/>
    <n v="9.9403902439024385"/>
    <x v="0"/>
    <x v="1"/>
    <n v="1018.89"/>
    <s v="Deal"/>
    <m/>
    <s v="Original Amount [EUR 102.5], Merchant Amount [EUR 102.5], Customer Amount [NOK 1018.89], Status [APPROVED], Operation [DIRECT], UUID [3625066-1458731308-126] [23/03/2016 at 11:08:00]"/>
  </r>
  <r>
    <s v="3625084-1458731327-216"/>
    <s v="Spot"/>
    <s v="3625084-1458731327-216"/>
    <n v="0"/>
    <d v="2016-03-31T00:00:00"/>
    <x v="2037"/>
    <s v="216"/>
    <s v="SELL"/>
    <n v="3.3958472873409247"/>
    <x v="0"/>
    <x v="0"/>
    <n v="50.7"/>
    <s v="Deal"/>
    <m/>
    <s v="Original Amount [EUR 14.93], Merchant Amount [EUR 14.93], Customer Amount [TRY 50.7], Status [APPROVED], Operation [3DAUTH], UUID [3625084-1458731327-216] [23/03/2016 at 11:08:00]"/>
  </r>
  <r>
    <s v="3625075-1458731317-216"/>
    <s v="Spot"/>
    <s v="3625075-1458731317-216"/>
    <n v="0"/>
    <d v="2016-03-31T00:00:00"/>
    <x v="2038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75-1458731317-216] [23/03/2016 at 11:08:00]"/>
  </r>
  <r>
    <s v="3625036-1458731267-199"/>
    <s v="Spot"/>
    <s v="3625036-1458731267-199"/>
    <n v="0"/>
    <d v="2016-03-31T00:00:00"/>
    <x v="2039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36-1458731267-199] [23/03/2016 at 11:07:00]"/>
  </r>
  <r>
    <s v="3625033-1458731265-241"/>
    <s v="Spot"/>
    <s v="3625033-1458731265-241"/>
    <n v="0"/>
    <d v="2016-03-31T00:00:00"/>
    <x v="2040"/>
    <s v="241"/>
    <s v="SELL"/>
    <n v="7.8628571428571421"/>
    <x v="0"/>
    <x v="10"/>
    <n v="275.2"/>
    <s v="Deal"/>
    <m/>
    <s v="Original Amount [EUR 35], Merchant Amount [EUR 35], Customer Amount [DKK 275.2], Status [APPROVED], Operation [DIRECT], UUID [3625033-1458731265-241] [23/03/2016 at 11:07:00]"/>
  </r>
  <r>
    <s v="3625024-1458731258-199"/>
    <s v="Spot"/>
    <s v="3625024-1458731258-199"/>
    <n v="0"/>
    <d v="2016-03-31T00:00:00"/>
    <x v="2041"/>
    <s v="199"/>
    <s v="SELL"/>
    <n v="9.9404049700874371"/>
    <x v="0"/>
    <x v="1"/>
    <n v="432.01"/>
    <s v="Deal"/>
    <m/>
    <s v="Original Amount [EUR 43.46], Merchant Amount [EUR 43.46], Customer Amount [NOK 432.01], Status [APPROVED], Operation [DIRECT], UUID [3625024-1458731258-199] [23/03/2016 at 11:07:00]"/>
  </r>
  <r>
    <s v="3625054-1458731289-119"/>
    <s v="Spot"/>
    <s v="3625054-1458731289-119"/>
    <n v="0"/>
    <d v="2016-03-31T00:00:00"/>
    <x v="2042"/>
    <s v="119"/>
    <s v="SELL"/>
    <n v="9.9404000000000003"/>
    <x v="0"/>
    <x v="1"/>
    <n v="497.02"/>
    <s v="Deal"/>
    <m/>
    <s v="Original Amount [EUR 50], Merchant Amount [EUR 50], Customer Amount [NOK 497.02], Status [APPROVED], Operation [3DAUTH], UUID [3625054-1458731289-119] [23/03/2016 at 11:08:00]"/>
  </r>
  <r>
    <s v="3625006-1458731239-199"/>
    <s v="Spot"/>
    <s v="3625006-1458731239-199"/>
    <n v="0"/>
    <d v="2016-03-31T00:00:00"/>
    <x v="2043"/>
    <s v="199"/>
    <s v="SELL"/>
    <n v="9.9403534609720179"/>
    <x v="0"/>
    <x v="1"/>
    <n v="539.96"/>
    <s v="Deal"/>
    <m/>
    <s v="Original Amount [EUR 54.32], Merchant Amount [EUR 54.32], Customer Amount [NOK 539.96], Status [APPROVED], Operation [DIRECT], UUID [3625006-1458731239-199] [23/03/2016 at 11:07:00]"/>
  </r>
  <r>
    <s v="3625000-1458731234-125"/>
    <s v="Spot"/>
    <s v="3625000-1458731234-125"/>
    <n v="0"/>
    <d v="2016-03-31T00:00:00"/>
    <x v="2044"/>
    <s v="125"/>
    <s v="SELL"/>
    <n v="132.79339999999999"/>
    <x v="0"/>
    <x v="3"/>
    <n v="13279.34"/>
    <s v="Deal"/>
    <m/>
    <s v="Original Amount [EUR 100], Merchant Amount [EUR 100], Customer Amount [JPY 13279.34], Status [APPROVED], Operation [DIRECT], UUID [3625000-1458731234-125] [23/03/2016 at 11:07:00]"/>
  </r>
  <r>
    <s v="3624991-1458731226-82"/>
    <s v="Spot"/>
    <s v="3624991-1458731226-82"/>
    <n v="0"/>
    <d v="2016-03-31T00:00:00"/>
    <x v="204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991-1458731226-82] [23/03/2016 at 11:07:00]"/>
  </r>
  <r>
    <s v="3624985-1458731222-224"/>
    <s v="Spot"/>
    <s v="3624985-1458731222-224"/>
    <n v="0"/>
    <d v="2016-03-31T00:00:00"/>
    <x v="2046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85-1458731222-224] [23/03/2016 at 11:07:00]"/>
  </r>
  <r>
    <s v="3625027-1458731259-216"/>
    <s v="Spot"/>
    <s v="3625027-1458731259-216"/>
    <n v="0"/>
    <d v="2016-03-31T00:00:00"/>
    <x v="2047"/>
    <s v="216"/>
    <s v="SELL"/>
    <n v="3.3961397058823528"/>
    <x v="0"/>
    <x v="0"/>
    <n v="36.950000000000003"/>
    <s v="Deal"/>
    <m/>
    <s v="Original Amount [EUR 10.88], Merchant Amount [EUR 10.88], Customer Amount [TRY 36.95], Status [APPROVED], Operation [3DAUTH], UUID [3625027-1458731259-216] [23/03/2016 at 11:07:00]"/>
  </r>
  <r>
    <s v="3624961-1458731209-224"/>
    <s v="Spot"/>
    <s v="3624961-1458731209-224"/>
    <n v="0"/>
    <d v="2016-03-31T00:00:00"/>
    <x v="2048"/>
    <s v="224"/>
    <s v="SELL"/>
    <n v="9.9403295349553442"/>
    <x v="0"/>
    <x v="1"/>
    <n v="1291.05"/>
    <s v="Deal"/>
    <m/>
    <s v="Original Amount [EUR 129.88], Merchant Amount [EUR 129.88], Customer Amount [NOK 1291.05], Status [APPROVED], Operation [DIRECT], UUID [3624961-1458731209-224] [23/03/2016 at 11:06:00]"/>
  </r>
  <r>
    <s v="3624958-1458731205-200"/>
    <s v="Spot"/>
    <s v="3624958-1458731205-200"/>
    <n v="0"/>
    <d v="2016-03-31T00:00:00"/>
    <x v="2049"/>
    <s v="200"/>
    <s v="SELL"/>
    <n v="9.9406663623916032"/>
    <x v="0"/>
    <x v="1"/>
    <n v="217.8"/>
    <s v="Deal"/>
    <m/>
    <s v="Original Amount [EUR 21.91], Merchant Amount [EUR 21.91], Customer Amount [NOK 217.8], Status [APPROVED], Operation [STORED], UUID [3624958-1458731205-200] [23/03/2016 at 11:06:00]"/>
  </r>
  <r>
    <s v="3624994-1458731232-196"/>
    <s v="Spot"/>
    <s v="3624994-1458731232-196"/>
    <n v="0"/>
    <d v="2016-03-31T00:00:00"/>
    <x v="2050"/>
    <s v="196"/>
    <s v="SELL"/>
    <n v="9.940514469453376"/>
    <x v="0"/>
    <x v="1"/>
    <n v="494.64"/>
    <s v="Deal"/>
    <m/>
    <s v="Original Amount [EUR 49.76], Merchant Amount [EUR 49.76], Customer Amount [NOK 494.64], Status [APPROVED], Operation [3DAUTH], UUID [3624994-1458731232-196] [23/03/2016 at 11:07:00]"/>
  </r>
  <r>
    <s v="3624976-1458731218-101"/>
    <s v="Spot"/>
    <s v="3624976-1458731218-101"/>
    <n v="0"/>
    <d v="2016-03-31T00:00:00"/>
    <x v="2051"/>
    <s v="101"/>
    <s v="SELL"/>
    <n v="3.3955191309829789"/>
    <x v="0"/>
    <x v="0"/>
    <n v="700.19"/>
    <s v="Deal"/>
    <m/>
    <s v="Original Amount [EUR 206.21], Merchant Amount [EUR 206.21], Customer Amount [TRY 700.19], Status [APPROVED], Operation [3DAUTH], UUID [3624976-1458731218-101] [23/03/2016 at 11:06:00]"/>
  </r>
  <r>
    <s v="3624934-1458731177-119"/>
    <s v="Spot"/>
    <s v="3624934-1458731177-119"/>
    <n v="0"/>
    <d v="2016-03-31T00:00:00"/>
    <x v="2052"/>
    <s v="119"/>
    <s v="SELL"/>
    <n v="9.9404000000000003"/>
    <x v="0"/>
    <x v="1"/>
    <n v="497.02"/>
    <s v="Deal"/>
    <m/>
    <s v="Original Amount [EUR 50], Merchant Amount [EUR 50], Customer Amount [NOK 497.02], Status [APPROVED], Operation [DIRECT], UUID [3624934-1458731177-119] [23/03/2016 at 11:06:00]"/>
  </r>
  <r>
    <s v="3624919-1458731168-224"/>
    <s v="Spot"/>
    <s v="3624919-1458731168-224"/>
    <n v="0"/>
    <d v="2016-03-31T00:00:00"/>
    <x v="2053"/>
    <s v="224"/>
    <s v="SELL"/>
    <n v="9.9404065291037877"/>
    <x v="0"/>
    <x v="1"/>
    <n v="645.53"/>
    <s v="Deal"/>
    <m/>
    <s v="Original Amount [EUR 64.94], Merchant Amount [EUR 64.94], Customer Amount [NOK 645.53], Status [APPROVED], Operation [DIRECT], UUID [3624919-1458731168-224] [23/03/2016 at 11:06:00]"/>
  </r>
  <r>
    <s v="3624937-1458731186-216"/>
    <s v="Spot"/>
    <s v="3624937-1458731186-216"/>
    <n v="0"/>
    <d v="2016-03-31T00:00:00"/>
    <x v="2054"/>
    <s v="216"/>
    <s v="SELL"/>
    <n v="3.3959390862944163"/>
    <x v="0"/>
    <x v="0"/>
    <n v="40.14"/>
    <s v="Deal"/>
    <m/>
    <s v="Original Amount [EUR 11.82], Merchant Amount [EUR 11.82], Customer Amount [TRY 40.14], Status [APPROVED], Operation [3DAUTH], UUID [3624937-1458731186-216] [23/03/2016 at 11:06:00]"/>
  </r>
  <r>
    <s v="3624955-1458731205-61"/>
    <s v="Spot"/>
    <s v="3624955-1458731205-61"/>
    <n v="0"/>
    <d v="2016-03-31T00:00:00"/>
    <x v="2055"/>
    <s v="61"/>
    <s v="SELL"/>
    <n v="9.940363636363637"/>
    <x v="0"/>
    <x v="1"/>
    <n v="1093.44"/>
    <s v="Deal"/>
    <m/>
    <s v="Original Amount [EUR 110], Merchant Amount [EUR 110], Customer Amount [NOK 1093.44], Status [APPROVED], Operation [3DAUTH], UUID [3624955-1458731205-61] [23/03/2016 at 11:06:00]"/>
  </r>
  <r>
    <s v="3624901-1458731156-124"/>
    <s v="Spot"/>
    <s v="3624901-1458731156-124"/>
    <n v="0"/>
    <d v="2016-03-31T00:00:00"/>
    <x v="2056"/>
    <s v="124"/>
    <s v="SELL"/>
    <n v="9.9414542020774324"/>
    <x v="0"/>
    <x v="1"/>
    <n v="105.28"/>
    <s v="Deal"/>
    <m/>
    <s v="Original Amount [EUR 10.59], Merchant Amount [EUR 10.59], Customer Amount [NOK 105.28], Status [APPROVED], Operation [DIRECT], UUID [3624901-1458731156-124] [23/03/2016 at 11:05:00]"/>
  </r>
  <r>
    <s v="3624931-1458731177-216"/>
    <s v="Spot"/>
    <s v="3624931-1458731177-216"/>
    <n v="0"/>
    <d v="2016-03-31T00:00:00"/>
    <x v="2057"/>
    <s v="216"/>
    <s v="SELL"/>
    <n v="3.3979099678456595"/>
    <x v="0"/>
    <x v="0"/>
    <n v="42.27"/>
    <s v="Deal"/>
    <m/>
    <s v="Original Amount [EUR 12.44], Merchant Amount [EUR 12.44], Customer Amount [TRY 42.27], Status [APPROVED], Operation [3DAUTH], UUID [3624931-1458731177-216] [23/03/2016 at 11:06:00]"/>
  </r>
  <r>
    <s v="3624928-1458731175-107"/>
    <s v="Spot"/>
    <s v="3624928-1458731175-107"/>
    <n v="0"/>
    <d v="2016-03-31T00:00:00"/>
    <x v="2058"/>
    <s v="107"/>
    <s v="SELL"/>
    <n v="3.3972455347536048"/>
    <x v="0"/>
    <x v="0"/>
    <n v="157.87"/>
    <s v="Deal"/>
    <m/>
    <s v="Original Amount [EUR 46.47], Merchant Amount [EUR 46.47], Customer Amount [TRY 157.87], Status [APPROVED], Operation [3DAUTH], UUID [3624928-1458731175-107] [23/03/2016 at 11:06:00]"/>
  </r>
  <r>
    <s v="3624907-1458731160-107"/>
    <s v="Spot"/>
    <s v="3624907-1458731160-107"/>
    <n v="0"/>
    <d v="2016-03-31T00:00:00"/>
    <x v="2059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4907-1458731160-107] [23/03/2016 at 11:06:00]"/>
  </r>
  <r>
    <s v="3624877-1458731137-238"/>
    <s v="Spot"/>
    <s v="3624877-1458731137-238"/>
    <n v="0"/>
    <d v="2016-03-31T00:00:00"/>
    <x v="206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877-1458731137-238] [23/03/2016 at 11:05:00]"/>
  </r>
  <r>
    <s v="3624925-1458731172-107"/>
    <s v="Spot"/>
    <s v="3624925-1458731172-107"/>
    <n v="0"/>
    <d v="2016-03-31T00:00:00"/>
    <x v="2061"/>
    <s v="107"/>
    <s v="SELL"/>
    <n v="3.3972455347536048"/>
    <x v="0"/>
    <x v="0"/>
    <n v="473.61"/>
    <s v="Deal"/>
    <m/>
    <s v="Original Amount [EUR 139.41], Merchant Amount [EUR 139.41], Customer Amount [TRY 473.61], Status [APPROVED], Operation [3DAUTH], UUID [3624925-1458731172-107] [23/03/2016 at 11:06:00]"/>
  </r>
  <r>
    <s v="3624847-1458731121-224"/>
    <s v="Spot"/>
    <s v="3624847-1458731121-224"/>
    <n v="0"/>
    <d v="2016-03-31T00:00:00"/>
    <x v="2062"/>
    <s v="224"/>
    <s v="SELL"/>
    <n v="9.9410790070344746"/>
    <x v="0"/>
    <x v="1"/>
    <n v="3419.93"/>
    <s v="Deal"/>
    <m/>
    <s v="Original Amount [EUR 344.02], Merchant Amount [EUR 344.02], Customer Amount [NOK 3419.93], Status [APPROVED], Operation [DIRECT], UUID [3624847-1458731121-224] [23/03/2016 at 11:05:00]"/>
  </r>
  <r>
    <s v="3624880-1458731137-56"/>
    <s v="Spot"/>
    <s v="3624880-1458731137-56"/>
    <n v="0"/>
    <d v="2016-03-31T00:00:00"/>
    <x v="2063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80-1458731137-56] [23/03/2016 at 11:05:00]"/>
  </r>
  <r>
    <s v="3624838-1458731115-82"/>
    <s v="Spot"/>
    <s v="3624838-1458731115-82"/>
    <n v="0"/>
    <d v="2016-03-31T00:00:00"/>
    <x v="20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838-1458731115-82] [23/03/2016 at 11:05:00]"/>
  </r>
  <r>
    <s v="3624871-1458731133-216"/>
    <s v="Spot"/>
    <s v="3624871-1458731133-216"/>
    <n v="0"/>
    <d v="2016-03-31T00:00:00"/>
    <x v="2065"/>
    <s v="216"/>
    <s v="SELL"/>
    <n v="3.3979779411764701"/>
    <x v="0"/>
    <x v="0"/>
    <n v="36.97"/>
    <s v="Deal"/>
    <m/>
    <s v="Original Amount [EUR 10.88], Merchant Amount [EUR 10.88], Customer Amount [TRY 36.97], Status [APPROVED], Operation [3DAUTH], UUID [3624871-1458731133-216] [23/03/2016 at 11:05:00]"/>
  </r>
  <r>
    <s v="3624856-1458731124-216"/>
    <s v="Spot"/>
    <s v="3624856-1458731124-216"/>
    <n v="0"/>
    <d v="2016-03-31T00:00:00"/>
    <x v="2066"/>
    <s v="216"/>
    <s v="SELL"/>
    <n v="3.3972847445516261"/>
    <x v="0"/>
    <x v="0"/>
    <n v="95.09"/>
    <s v="Deal"/>
    <m/>
    <s v="Original Amount [EUR 27.99], Merchant Amount [EUR 27.99], Customer Amount [TRY 95.09], Status [APPROVED], Operation [3DAUTH], UUID [3624856-1458731124-216] [23/03/2016 at 11:05:00]"/>
  </r>
  <r>
    <s v="3624865-1458731129-56"/>
    <s v="Spot"/>
    <s v="3624865-1458731129-56"/>
    <n v="0"/>
    <d v="2016-03-31T00:00:00"/>
    <x v="2067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865-1458731129-56] [23/03/2016 at 11:05:00]"/>
  </r>
  <r>
    <s v="3624793-1458731066-199"/>
    <s v="Spot"/>
    <s v="3624793-1458731066-199"/>
    <n v="0"/>
    <d v="2016-03-31T00:00:00"/>
    <x v="2068"/>
    <s v="199"/>
    <s v="SELL"/>
    <n v="9.9410898935768728"/>
    <x v="0"/>
    <x v="1"/>
    <n v="2634.19"/>
    <s v="Deal"/>
    <m/>
    <s v="Original Amount [EUR 264.98], Merchant Amount [EUR 264.98], Customer Amount [NOK 2634.19], Status [APPROVED], Operation [DIRECT], UUID [3624793-1458731066-199] [23/03/2016 at 11:04:00]"/>
  </r>
  <r>
    <s v="3624811-1458731079-264"/>
    <s v="Spot"/>
    <s v="3624811-1458731079-264"/>
    <n v="0"/>
    <d v="2016-03-31T00:00:00"/>
    <x v="2069"/>
    <s v="264"/>
    <s v="SELL"/>
    <n v="1.183311855670103"/>
    <x v="0"/>
    <x v="7"/>
    <n v="36.729999999999997"/>
    <s v="Deal"/>
    <m/>
    <s v="Original Amount [TRY 100], Merchant Amount [EUR 31.04], Customer Amount [USD 36.73], Status [APPROVED], Operation [3DAUTH], UUID [3624811-1458731079-264] [23/03/2016 at 11:04:00]"/>
  </r>
  <r>
    <s v="3624805-1458731074-56"/>
    <s v="Spot"/>
    <s v="3624805-1458731074-56"/>
    <n v="0"/>
    <d v="2016-03-31T00:00:00"/>
    <x v="2070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4805-1458731074-56] [23/03/2016 at 11:04:00]"/>
  </r>
  <r>
    <s v="3624781-1458731051-261"/>
    <s v="Spot"/>
    <s v="3624781-1458731051-261"/>
    <n v="0"/>
    <d v="2016-03-31T00:00:00"/>
    <x v="2071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4781-1458731051-261] [23/03/2016 at 11:04:00]"/>
  </r>
  <r>
    <s v="3624778-1458731050-261"/>
    <s v="Spot"/>
    <s v="3624778-1458731050-261"/>
    <n v="0"/>
    <d v="2016-03-31T00:00:00"/>
    <x v="2072"/>
    <s v="261"/>
    <s v="SELL"/>
    <n v="9.9414330218068532"/>
    <x v="0"/>
    <x v="1"/>
    <n v="159.56"/>
    <s v="Deal"/>
    <m/>
    <s v="Original Amount [EUR 16.05], Merchant Amount [EUR 16.05], Customer Amount [NOK 159.56], Status [APPROVED], Operation [DIRECT], UUID [3624778-1458731050-261] [23/03/2016 at 11:04:00]"/>
  </r>
  <r>
    <s v="3624775-1458731049-224"/>
    <s v="Spot"/>
    <s v="3624775-1458731049-224"/>
    <n v="0"/>
    <d v="2016-03-31T00:00:00"/>
    <x v="2073"/>
    <s v="224"/>
    <s v="SELL"/>
    <n v="132.88274889969219"/>
    <x v="0"/>
    <x v="3"/>
    <n v="46194.03"/>
    <s v="Deal"/>
    <m/>
    <s v="Original Amount [EUR 347.63], Merchant Amount [EUR 347.63], Customer Amount [JPY 46194.03], Status [APPROVED], Operation [DIRECT], UUID [3624775-1458731049-224] [23/03/2016 at 11:04:00]"/>
  </r>
  <r>
    <s v="3624760-1458731012-224"/>
    <s v="Spot"/>
    <s v="3624760-1458731012-224"/>
    <n v="0"/>
    <d v="2016-03-31T00:00:00"/>
    <x v="2074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4760-1458731012-224] [23/03/2016 at 11:03:00]"/>
  </r>
  <r>
    <s v="3624754-1458731006-199"/>
    <s v="Spot"/>
    <s v="3624754-1458731006-199"/>
    <n v="0"/>
    <d v="2016-03-31T00:00:00"/>
    <x v="2075"/>
    <s v="199"/>
    <s v="SELL"/>
    <n v="9.9410636223543101"/>
    <x v="0"/>
    <x v="1"/>
    <n v="3160.96"/>
    <s v="Deal"/>
    <m/>
    <s v="Original Amount [EUR 317.97], Merchant Amount [EUR 317.97], Customer Amount [NOK 3160.96], Status [APPROVED], Operation [DIRECT], UUID [3624754-1458731006-199] [23/03/2016 at 11:03:00]"/>
  </r>
  <r>
    <s v="3624715-1458730975-56"/>
    <s v="Spot"/>
    <s v="3624715-1458730975-56"/>
    <n v="0"/>
    <d v="2016-03-31T00:00:00"/>
    <x v="2076"/>
    <s v="56"/>
    <s v="SELL"/>
    <n v="3.3961910708710583"/>
    <x v="0"/>
    <x v="0"/>
    <n v="108.78"/>
    <s v="Deal"/>
    <m/>
    <s v="Original Amount [EUR 32.03], Merchant Amount [EUR 32.03], Customer Amount [TRY 108.78], Status [WAITING], Operation [3D], UUID [3624715-1458730975-56] [23/03/2016 at 11:02:00]"/>
  </r>
  <r>
    <s v="3624706-1458730968-200"/>
    <s v="Spot"/>
    <s v="3624706-1458730968-200"/>
    <n v="0"/>
    <d v="2016-03-31T00:00:00"/>
    <x v="2077"/>
    <s v="200"/>
    <s v="SELL"/>
    <n v="9.9679715302491108"/>
    <x v="0"/>
    <x v="1"/>
    <n v="1092.3900000000001"/>
    <s v="Deal"/>
    <m/>
    <s v="Original Amount [EUR 109.59], Merchant Amount [EUR 109.59], Customer Amount [NOK 1092.39], Status [APPROVED], Operation [STORED], UUID [3624706-1458730968-200] [23/03/2016 at 11:02:00]"/>
  </r>
  <r>
    <s v="3624745-1458730995-216"/>
    <s v="Spot"/>
    <s v="3624745-1458730995-216"/>
    <n v="0"/>
    <d v="2016-03-31T00:00:00"/>
    <x v="2078"/>
    <s v="216"/>
    <s v="SELL"/>
    <n v="3.3961772371850567"/>
    <x v="0"/>
    <x v="0"/>
    <n v="39.090000000000003"/>
    <s v="Deal"/>
    <m/>
    <s v="Original Amount [EUR 11.51], Merchant Amount [EUR 11.51], Customer Amount [TRY 39.09], Status [APPROVED], Operation [3DAUTH], UUID [3624745-1458730995-216] [23/03/2016 at 11:03:00]"/>
  </r>
  <r>
    <s v="3624712-1458730974-124"/>
    <s v="Spot"/>
    <s v="3624712-1458730974-124"/>
    <n v="0"/>
    <d v="2016-03-31T00:00:00"/>
    <x v="2079"/>
    <s v="124"/>
    <s v="SELL"/>
    <n v="9.9683663833805483"/>
    <x v="0"/>
    <x v="1"/>
    <n v="211.13"/>
    <s v="Deal"/>
    <m/>
    <s v="Original Amount [EUR 21.18], Merchant Amount [EUR 21.18], Customer Amount [NOK 211.13], Status [APPROVED], Operation [3DAUTH], UUID [3624712-1458730974-124] [23/03/2016 at 11:02:00]"/>
  </r>
  <r>
    <s v="3624703-1458730967-101"/>
    <s v="Spot"/>
    <s v="3624703-1458730967-101"/>
    <n v="0"/>
    <d v="2016-03-31T00:00:00"/>
    <x v="2080"/>
    <s v="101"/>
    <s v="SELL"/>
    <n v="3.3960474059131314"/>
    <x v="0"/>
    <x v="0"/>
    <n v="1077.43"/>
    <s v="Deal"/>
    <m/>
    <s v="Original Amount [EUR 317.26], Merchant Amount [EUR 317.26], Customer Amount [TRY 1077.43], Status [APPROVED], Operation [3DAUTH], UUID [3624703-1458730967-101] [23/03/2016 at 11:02:00]"/>
  </r>
  <r>
    <s v="3624742-1458730995-56"/>
    <s v="Spot"/>
    <s v="3624742-1458730995-56"/>
    <n v="0"/>
    <d v="2016-03-31T00:00:00"/>
    <x v="2081"/>
    <s v="56"/>
    <s v="SELL"/>
    <n v="3.3963657013060762"/>
    <x v="0"/>
    <x v="0"/>
    <n v="59.81"/>
    <s v="Deal"/>
    <m/>
    <s v="Original Amount [EUR 17.61], Merchant Amount [EUR 17.61], Customer Amount [TRY 59.81], Status [APPROVED], Operation [3DAUTH], UUID [3624742-1458730995-56] [23/03/2016 at 11:03:00]"/>
  </r>
  <r>
    <s v="3624664-1458730926-82"/>
    <s v="Spot"/>
    <s v="3624664-1458730926-82"/>
    <n v="0"/>
    <d v="2016-03-31T00:00:00"/>
    <x v="2082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4664-1458730926-82] [23/03/2016 at 11:02:00]"/>
  </r>
  <r>
    <s v="3624661-1458730914-199"/>
    <s v="Spot"/>
    <s v="3624661-1458730914-199"/>
    <n v="0"/>
    <d v="2016-03-31T00:00:00"/>
    <x v="2083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4661-1458730914-199] [23/03/2016 at 11:01:00]"/>
  </r>
  <r>
    <s v="3624697-1458730966-119"/>
    <s v="Spot"/>
    <s v="3624697-1458730966-119"/>
    <n v="0"/>
    <d v="2016-03-31T00:00:00"/>
    <x v="2084"/>
    <s v="119"/>
    <s v="SELL"/>
    <n v="9.968"/>
    <x v="0"/>
    <x v="1"/>
    <n v="498.4"/>
    <s v="Deal"/>
    <m/>
    <s v="Original Amount [EUR 50], Merchant Amount [EUR 50], Customer Amount [NOK 498.4], Status [APPROVED], Operation [3DAUTH], UUID [3624697-1458730966-119] [23/03/2016 at 11:02:00]"/>
  </r>
  <r>
    <s v="3624646-1458730904-187"/>
    <s v="Spot"/>
    <s v="3624646-1458730904-187"/>
    <n v="0"/>
    <d v="2016-03-31T00:00:00"/>
    <x v="2085"/>
    <s v="187"/>
    <s v="SELL"/>
    <n v="9.9680468897712231"/>
    <x v="0"/>
    <x v="1"/>
    <n v="527.21"/>
    <s v="Deal"/>
    <m/>
    <s v="Original Amount [EUR 52.89], Merchant Amount [EUR 52.89], Customer Amount [NOK 527.21], Status [APPROVED], Operation [DIRECT], UUID [3624646-1458730904-187] [23/03/2016 at 11:01:00]"/>
  </r>
  <r>
    <s v="3624640-1458730890-224"/>
    <s v="Spot"/>
    <s v="3624640-1458730890-224"/>
    <n v="0"/>
    <d v="2016-03-31T00:00:00"/>
    <x v="2086"/>
    <s v="224"/>
    <s v="SELL"/>
    <n v="9.9681146025878"/>
    <x v="0"/>
    <x v="1"/>
    <n v="215.71"/>
    <s v="Deal"/>
    <m/>
    <s v="Original Amount [EUR 21.64], Merchant Amount [EUR 21.64], Customer Amount [NOK 215.71], Status [APPROVED], Operation [DIRECT], UUID [3624640-1458730890-224] [23/03/2016 at 11:01:00]"/>
  </r>
  <r>
    <s v="3624649-1458730904-264"/>
    <s v="Spot"/>
    <s v="3624649-1458730904-264"/>
    <n v="0"/>
    <d v="2016-03-31T00:00:00"/>
    <x v="2087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4649-1458730904-264] [23/03/2016 at 11:01:00]"/>
  </r>
  <r>
    <s v="3624634-1458730872-107"/>
    <s v="Spot"/>
    <s v="3624634-1458730872-107"/>
    <n v="0"/>
    <d v="2016-03-31T00:00:00"/>
    <x v="2088"/>
    <s v="107"/>
    <s v="SELL"/>
    <n v="3.3969610636277308"/>
    <x v="0"/>
    <x v="0"/>
    <n v="35.770000000000003"/>
    <s v="Deal"/>
    <m/>
    <s v="Original Amount [EUR 10.53], Merchant Amount [EUR 10.53], Customer Amount [TRY 35.77], Status [APPROVED], Operation [3DAUTH], UUID [3624634-1458730872-107] [23/03/2016 at 11:01:00]"/>
  </r>
  <r>
    <s v="3624628-1458730868-56"/>
    <s v="Spot"/>
    <s v="3624628-1458730868-56"/>
    <n v="0"/>
    <d v="2016-03-31T00:00:00"/>
    <x v="2089"/>
    <s v="56"/>
    <s v="SELL"/>
    <n v="3.3962508080155138"/>
    <x v="0"/>
    <x v="0"/>
    <n v="52.54"/>
    <s v="Deal"/>
    <m/>
    <s v="Original Amount [EUR 15.47], Merchant Amount [EUR 15.47], Customer Amount [TRY 52.54], Status [APPROVED], Operation [3DAUTH], UUID [3624628-1458730868-56] [23/03/2016 at 11:01:00]"/>
  </r>
  <r>
    <s v="3624616-1458730852-107"/>
    <s v="Spot"/>
    <s v="3624616-1458730852-107"/>
    <n v="0"/>
    <d v="2016-03-31T00:00:00"/>
    <x v="2090"/>
    <s v="107"/>
    <s v="SELL"/>
    <n v="3.3962818003913893"/>
    <x v="0"/>
    <x v="0"/>
    <n v="34.71"/>
    <s v="Deal"/>
    <m/>
    <s v="Original Amount [EUR 10.22], Merchant Amount [EUR 10.22], Customer Amount [TRY 34.71], Status [APPROVED], Operation [3DAUTH], UUID [3624616-1458730852-107] [23/03/2016 at 11:00:00]"/>
  </r>
  <r>
    <s v="3624565-1458730799-224"/>
    <s v="Spot"/>
    <s v="3624565-1458730799-224"/>
    <n v="0"/>
    <d v="2016-03-31T00:00:00"/>
    <x v="2091"/>
    <s v="224"/>
    <s v="SELL"/>
    <n v="9.9426987060998151"/>
    <x v="0"/>
    <x v="1"/>
    <n v="107.58"/>
    <s v="Deal"/>
    <m/>
    <s v="Original Amount [EUR 10.82], Merchant Amount [EUR 10.82], Customer Amount [NOK 107.58], Status [APPROVED], Operation [DIRECT], UUID [3624565-1458730799-224] [23/03/2016 at 10:59:00]"/>
  </r>
  <r>
    <s v="3624559-1458730791-200"/>
    <s v="Spot"/>
    <s v="3624559-1458730791-200"/>
    <n v="0"/>
    <d v="2016-03-31T00:00:00"/>
    <x v="2092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4559-1458730791-200] [23/03/2016 at 10:59:00]"/>
  </r>
  <r>
    <s v="3624595-1458730829-216"/>
    <s v="Spot"/>
    <s v="3624595-1458730829-216"/>
    <n v="0"/>
    <d v="2016-03-31T00:00:00"/>
    <x v="2093"/>
    <s v="216"/>
    <s v="SELL"/>
    <n v="3.3970446514616128"/>
    <x v="0"/>
    <x v="0"/>
    <n v="105.75"/>
    <s v="Deal"/>
    <m/>
    <s v="Original Amount [EUR 31.13], Merchant Amount [EUR 31.13], Customer Amount [TRY 105.75], Status [APPROVED], Operation [3DAUTH], UUID [3624595-1458730829-216] [23/03/2016 at 11:00:00]"/>
  </r>
  <r>
    <s v="3624577-1458730805-119"/>
    <s v="Spot"/>
    <s v="3624577-1458730805-119"/>
    <n v="0"/>
    <d v="2016-03-31T00:00:00"/>
    <x v="2094"/>
    <s v="119"/>
    <s v="SELL"/>
    <n v="9.9420000000000002"/>
    <x v="0"/>
    <x v="1"/>
    <n v="248.55"/>
    <s v="Deal"/>
    <m/>
    <s v="Original Amount [EUR 25], Merchant Amount [EUR 25], Customer Amount [NOK 248.55], Status [APPROVED], Operation [3DAUTH], UUID [3624577-1458730805-119] [23/03/2016 at 11:00:00]"/>
  </r>
  <r>
    <s v="3624538-1458730763-187"/>
    <s v="Spot"/>
    <s v="3624538-1458730763-187"/>
    <n v="0"/>
    <d v="2016-03-31T00:00:00"/>
    <x v="2095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538-1458730763-187] [23/03/2016 at 10:59:00]"/>
  </r>
  <r>
    <s v="3624535-1458730761-224"/>
    <s v="Spot"/>
    <s v="3624535-1458730761-224"/>
    <n v="0"/>
    <d v="2016-03-31T00:00:00"/>
    <x v="2096"/>
    <s v="224"/>
    <s v="SELL"/>
    <n v="132.99331103678932"/>
    <x v="0"/>
    <x v="3"/>
    <n v="24256.65"/>
    <s v="Deal"/>
    <m/>
    <s v="Original Amount [EUR 182.39], Merchant Amount [EUR 182.39], Customer Amount [JPY 24256.65], Status [APPROVED], Operation [DIRECT], UUID [3624535-1458730761-224] [23/03/2016 at 10:59:00]"/>
  </r>
  <r>
    <s v="3624532-1458730760-124"/>
    <s v="Spot"/>
    <s v="3624532-1458730760-124"/>
    <n v="0"/>
    <d v="2016-03-31T00:00:00"/>
    <x v="2097"/>
    <s v="124"/>
    <s v="SELL"/>
    <n v="9.9420654911838788"/>
    <x v="0"/>
    <x v="1"/>
    <n v="157.88"/>
    <s v="Deal"/>
    <m/>
    <s v="Original Amount [EUR 15.88], Merchant Amount [EUR 15.88], Customer Amount [NOK 157.88], Status [APPROVED], Operation [DIRECT], UUID [3624532-1458730760-124] [23/03/2016 at 10:59:00]"/>
  </r>
  <r>
    <s v="3624574-1458730803-56"/>
    <s v="Spot"/>
    <s v="3624574-1458730803-56"/>
    <n v="0"/>
    <d v="2016-03-31T00:00:00"/>
    <x v="2098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574-1458730803-56] [23/03/2016 at 11:00:00]"/>
  </r>
  <r>
    <s v="3624523-1458730755-119"/>
    <s v="Spot"/>
    <s v="3624523-1458730755-119"/>
    <n v="0"/>
    <d v="2016-03-31T00:00:00"/>
    <x v="2099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4523-1458730755-119] [23/03/2016 at 10:59:00]"/>
  </r>
  <r>
    <s v="3624556-1458730787-216"/>
    <s v="Spot"/>
    <s v="3624556-1458730787-216"/>
    <n v="0"/>
    <d v="2016-03-31T00:00:00"/>
    <x v="2100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56-1458730787-216] [23/03/2016 at 10:59:00]"/>
  </r>
  <r>
    <s v="3624508-1458730744-224"/>
    <s v="Spot"/>
    <s v="3624508-1458730744-224"/>
    <n v="0"/>
    <d v="2016-03-31T00:00:00"/>
    <x v="2101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508-1458730744-224] [23/03/2016 at 10:59:00]"/>
  </r>
  <r>
    <s v="3624505-1458730744-224"/>
    <s v="Spot"/>
    <s v="3624505-1458730744-224"/>
    <n v="0"/>
    <d v="2016-03-31T00:00:00"/>
    <x v="2102"/>
    <s v="224"/>
    <s v="SELL"/>
    <n v="9.9421004003695721"/>
    <x v="0"/>
    <x v="1"/>
    <n v="322.82"/>
    <s v="Deal"/>
    <m/>
    <s v="Original Amount [EUR 32.47], Merchant Amount [EUR 32.47], Customer Amount [NOK 322.82], Status [APPROVED], Operation [DIRECT], UUID [3624505-1458730744-224] [23/03/2016 at 10:59:00]"/>
  </r>
  <r>
    <s v="3624544-1458730774-216"/>
    <s v="Spot"/>
    <s v="3624544-1458730774-216"/>
    <n v="0"/>
    <d v="2016-03-31T00:00:00"/>
    <x v="2103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544-1458730774-216] [23/03/2016 at 10:59:00]"/>
  </r>
  <r>
    <s v="3624478-1458730714-101"/>
    <s v="Spot"/>
    <s v="3624478-1458730714-101"/>
    <n v="0"/>
    <d v="2016-03-31T00:00:00"/>
    <x v="2104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78-1458730714-101] [23/03/2016 at 10:58:00]"/>
  </r>
  <r>
    <s v="3624475-1458730711-261"/>
    <s v="Spot"/>
    <s v="3624475-1458730711-261"/>
    <n v="0"/>
    <d v="2016-03-31T00:00:00"/>
    <x v="2105"/>
    <s v="261"/>
    <s v="SELL"/>
    <n v="9.9424040066777959"/>
    <x v="0"/>
    <x v="1"/>
    <n v="119.11"/>
    <s v="Deal"/>
    <m/>
    <s v="Original Amount [EUR 11.98], Merchant Amount [EUR 11.98], Customer Amount [NOK 119.11], Status [APPROVED], Operation [DIRECT], UUID [3624475-1458730711-261] [23/03/2016 at 10:58:00]"/>
  </r>
  <r>
    <s v="3624493-1458730735-56"/>
    <s v="Spot"/>
    <s v="3624493-1458730735-56"/>
    <n v="0"/>
    <d v="2016-03-31T00:00:00"/>
    <x v="2106"/>
    <s v="56"/>
    <s v="SELL"/>
    <n v="3.3975"/>
    <x v="0"/>
    <x v="0"/>
    <n v="27.18"/>
    <s v="Deal"/>
    <m/>
    <s v="Original Amount [EUR 8], Merchant Amount [EUR 8], Customer Amount [TRY 27.18], Status [APPROVED], Operation [3DAUTH], UUID [3624493-1458730735-56] [23/03/2016 at 10:58:00]"/>
  </r>
  <r>
    <s v="3624499-1458730738-56"/>
    <s v="Spot"/>
    <s v="3624499-1458730738-56"/>
    <n v="0"/>
    <d v="2016-03-31T00:00:00"/>
    <x v="2107"/>
    <s v="56"/>
    <s v="SELL"/>
    <n v="3.3975"/>
    <x v="0"/>
    <x v="0"/>
    <n v="27.18"/>
    <s v="Deal"/>
    <m/>
    <s v="Original Amount [EUR 8], Merchant Amount [EUR 8], Customer Amount [TRY 27.18], Status [APPROVED], Operation [3DAUTH], UUID [3624499-1458730738-56] [23/03/2016 at 10:58:00]"/>
  </r>
  <r>
    <s v="3624442-1458730675-101"/>
    <s v="Spot"/>
    <s v="3624442-1458730675-101"/>
    <n v="0"/>
    <d v="2016-03-31T00:00:00"/>
    <x v="2108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42-1458730675-101] [23/03/2016 at 10:57:00]"/>
  </r>
  <r>
    <s v="3624457-1458730702-216"/>
    <s v="Spot"/>
    <s v="3624457-1458730702-216"/>
    <n v="0"/>
    <d v="2016-03-31T00:00:00"/>
    <x v="210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457-1458730702-216] [23/03/2016 at 10:58:00]"/>
  </r>
  <r>
    <s v="3624436-1458730671-145"/>
    <s v="Spot"/>
    <s v="3624436-1458730671-145"/>
    <n v="0"/>
    <d v="2016-03-31T00:00:00"/>
    <x v="2110"/>
    <s v="145"/>
    <s v="SELL"/>
    <n v="9.9418604651162799"/>
    <x v="0"/>
    <x v="1"/>
    <n v="316.35000000000002"/>
    <s v="Deal"/>
    <m/>
    <s v="Original Amount [EUR 31.82], Merchant Amount [EUR 31.82], Customer Amount [NOK 316.35], Status [APPROVED], Operation [DIRECT], UUID [3624436-1458730671-145] [23/03/2016 at 10:57:00]"/>
  </r>
  <r>
    <s v="3624430-1458730661-264"/>
    <s v="Spot"/>
    <s v="3624430-1458730661-264"/>
    <n v="0"/>
    <d v="2016-03-31T00:00:00"/>
    <x v="2111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4430-1458730661-264] [23/03/2016 at 10:57:00]"/>
  </r>
  <r>
    <s v="3624403-1458730628-101"/>
    <s v="Spot"/>
    <s v="3624403-1458730628-101"/>
    <n v="0"/>
    <d v="2016-03-31T00:00:00"/>
    <x v="2112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403-1458730628-101] [23/03/2016 at 10:57:00]"/>
  </r>
  <r>
    <s v="3624400-1458730626-216"/>
    <s v="Spot"/>
    <s v="3624400-1458730626-216"/>
    <n v="0"/>
    <d v="2016-03-31T00:00:00"/>
    <x v="2113"/>
    <s v="216"/>
    <s v="SELL"/>
    <n v="3.3975903614457832"/>
    <x v="0"/>
    <x v="0"/>
    <n v="42.3"/>
    <s v="Deal"/>
    <m/>
    <s v="Original Amount [EUR 12.45], Merchant Amount [EUR 12.45], Customer Amount [TRY 42.3], Status [WAITING], Operation [3D], UUID [3624400-1458730626-216] [23/03/2016 at 10:57:00]"/>
  </r>
  <r>
    <s v="3624445-1458730677-261"/>
    <s v="Spot"/>
    <s v="3624445-1458730677-261"/>
    <n v="0"/>
    <d v="2016-03-31T00:00:00"/>
    <x v="2114"/>
    <s v="261"/>
    <s v="SELL"/>
    <n v="9.9420560747663558"/>
    <x v="0"/>
    <x v="1"/>
    <n v="212.76"/>
    <s v="Deal"/>
    <m/>
    <s v="Original Amount [EUR 21.4], Merchant Amount [EUR 21.4], Customer Amount [NOK 212.76], Status [APPROVED], Operation [3DAUTH], UUID [3624445-1458730677-261] [23/03/2016 at 10:57:00]"/>
  </r>
  <r>
    <s v="3624388-1458730617-216"/>
    <s v="Spot"/>
    <s v="3624388-1458730617-216"/>
    <n v="0"/>
    <d v="2016-03-31T00:00:00"/>
    <x v="2115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4388-1458730617-216] [23/03/2016 at 10:56:00]"/>
  </r>
  <r>
    <s v="3624367-1458730582-101"/>
    <s v="Spot"/>
    <s v="3624367-1458730582-101"/>
    <n v="0"/>
    <d v="2016-03-31T00:00:00"/>
    <x v="2116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67-1458730582-101] [23/03/2016 at 10:56:00]"/>
  </r>
  <r>
    <s v="3624349-1458730550-224"/>
    <s v="Spot"/>
    <s v="3624349-1458730550-224"/>
    <n v="0"/>
    <d v="2016-03-31T00:00:00"/>
    <x v="2117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4349-1458730550-224] [23/03/2016 at 10:55:00]"/>
  </r>
  <r>
    <s v="3624340-1458730539-124"/>
    <s v="Spot"/>
    <s v="3624340-1458730539-124"/>
    <n v="0"/>
    <d v="2016-03-31T00:00:00"/>
    <x v="2118"/>
    <s v="124"/>
    <s v="SELL"/>
    <n v="9.9551534225019669"/>
    <x v="0"/>
    <x v="1"/>
    <n v="126.53"/>
    <s v="Deal"/>
    <m/>
    <s v="Original Amount [EUR 12.71], Merchant Amount [EUR 12.71], Customer Amount [NOK 126.53], Status [APPROVED], Operation [DIRECT], UUID [3624340-1458730539-124] [23/03/2016 at 10:55:00]"/>
  </r>
  <r>
    <s v="3624358-1458730569-107"/>
    <s v="Spot"/>
    <s v="3624358-1458730569-107"/>
    <n v="0"/>
    <d v="2016-03-31T00:00:00"/>
    <x v="2119"/>
    <s v="107"/>
    <s v="SELL"/>
    <n v="3.3973544973544971"/>
    <x v="0"/>
    <x v="0"/>
    <n v="64.209999999999994"/>
    <s v="Deal"/>
    <m/>
    <s v="Original Amount [EUR 18.9], Merchant Amount [EUR 18.9], Customer Amount [TRY 64.21], Status [APPROVED], Operation [3DAUTH], UUID [3624358-1458730569-107] [23/03/2016 at 10:56:00]"/>
  </r>
  <r>
    <s v="3624328-1458730531-101"/>
    <s v="Spot"/>
    <s v="3624328-1458730531-101"/>
    <n v="0"/>
    <d v="2016-03-31T00:00:00"/>
    <x v="2120"/>
    <s v="101"/>
    <s v="SELL"/>
    <n v="3.3970863683662853"/>
    <x v="0"/>
    <x v="0"/>
    <n v="326.45999999999998"/>
    <s v="Deal"/>
    <m/>
    <s v="Original Amount [EUR 96.1], Merchant Amount [EUR 96.1], Customer Amount [TRY 326.46], Status [WAITING], Operation [3D], UUID [3624328-1458730531-101] [23/03/2016 at 10:55:00]"/>
  </r>
  <r>
    <s v="3624313-1458730491-216"/>
    <s v="Spot"/>
    <s v="3624313-1458730491-216"/>
    <n v="0"/>
    <d v="2016-03-31T00:00:00"/>
    <x v="2121"/>
    <s v="216"/>
    <s v="SELL"/>
    <n v="3.3971722365038564"/>
    <x v="0"/>
    <x v="0"/>
    <n v="79.290000000000006"/>
    <s v="Deal"/>
    <m/>
    <s v="Original Amount [EUR 23.34], Merchant Amount [EUR 23.34], Customer Amount [TRY 79.29], Status [WAITING], Operation [3D], UUID [3624313-1458730491-216] [23/03/2016 at 10:54:00]"/>
  </r>
  <r>
    <s v="3624325-1458730514-107"/>
    <s v="Spot"/>
    <s v="3624325-1458730514-107"/>
    <n v="0"/>
    <d v="2016-03-31T00:00:00"/>
    <x v="2122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4325-1458730514-107] [23/03/2016 at 10:55:00]"/>
  </r>
  <r>
    <s v="3624301-1458730481-224"/>
    <s v="Spot"/>
    <s v="3624301-1458730481-224"/>
    <n v="0"/>
    <d v="2016-03-31T00:00:00"/>
    <x v="2123"/>
    <s v="224"/>
    <s v="SELL"/>
    <n v="132.88304093567251"/>
    <x v="0"/>
    <x v="3"/>
    <n v="1817.84"/>
    <s v="Deal"/>
    <m/>
    <s v="Original Amount [EUR 13.68], Merchant Amount [EUR 13.68], Customer Amount [JPY 1817.84], Status [APPROVED], Operation [DIRECT], UUID [3624301-1458730481-224] [23/03/2016 at 10:54:00]"/>
  </r>
  <r>
    <s v="3624292-1458730467-125"/>
    <s v="Spot"/>
    <s v="3624292-1458730467-125"/>
    <n v="0"/>
    <d v="2016-03-31T00:00:00"/>
    <x v="2124"/>
    <s v="125"/>
    <s v="SELL"/>
    <n v="132.88273999999998"/>
    <x v="0"/>
    <x v="3"/>
    <n v="66441.37"/>
    <s v="Deal"/>
    <m/>
    <s v="Original Amount [EUR 500], Merchant Amount [EUR 500], Customer Amount [JPY 66441.37], Status [APPROVED], Operation [DIRECT], UUID [3624292-1458730467-125] [23/03/2016 at 10:54:00]"/>
  </r>
  <r>
    <s v="3624307-1458730486-150"/>
    <s v="Spot"/>
    <s v="3624307-1458730486-150"/>
    <n v="0"/>
    <d v="2016-03-31T00:00:00"/>
    <x v="2125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4307-1458730486-150] [23/03/2016 at 10:54:00]"/>
  </r>
  <r>
    <s v="3624259-1458730446-145"/>
    <s v="Spot"/>
    <s v="3624259-1458730446-145"/>
    <n v="0"/>
    <d v="2016-03-31T00:00:00"/>
    <x v="212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4259-1458730446-145] [23/03/2016 at 10:54:00]"/>
  </r>
  <r>
    <s v="3624253-1458730444-187"/>
    <s v="Spot"/>
    <s v="3624253-1458730444-187"/>
    <n v="0"/>
    <d v="2016-03-31T00:00:00"/>
    <x v="2127"/>
    <s v="187"/>
    <s v="SELL"/>
    <n v="9.9546206570550702"/>
    <x v="0"/>
    <x v="1"/>
    <n v="421.18"/>
    <s v="Deal"/>
    <m/>
    <s v="Original Amount [EUR 42.31], Merchant Amount [EUR 42.31], Customer Amount [NOK 421.18], Status [APPROVED], Operation [DIRECT], UUID [3624253-1458730444-187] [23/03/2016 at 10:54:00]"/>
  </r>
  <r>
    <s v="3624262-1458730447-145"/>
    <s v="Spot"/>
    <s v="3624262-1458730447-145"/>
    <n v="0"/>
    <d v="2016-03-31T00:00:00"/>
    <x v="2128"/>
    <s v="145"/>
    <s v="SELL"/>
    <n v="1.543150183150183"/>
    <x v="0"/>
    <x v="2"/>
    <n v="210.64"/>
    <s v="Deal"/>
    <m/>
    <s v="Original Amount [EUR 136.5], Merchant Amount [EUR 136.5], Customer Amount [CAD 210.64], Status [APPROVED], Operation [3DAUTH], UUID [3624262-1458730447-145] [23/03/2016 at 10:54:00]"/>
  </r>
  <r>
    <s v="3624289-1458730467-261"/>
    <s v="Spot"/>
    <s v="3624289-1458730467-261"/>
    <n v="0"/>
    <d v="2016-03-31T00:00:00"/>
    <x v="2129"/>
    <s v="261"/>
    <s v="SELL"/>
    <n v="9.9545709478407183"/>
    <x v="0"/>
    <x v="1"/>
    <n v="1064.94"/>
    <s v="Deal"/>
    <m/>
    <s v="Original Amount [EUR 106.98], Merchant Amount [EUR 106.98], Customer Amount [NOK 1064.94], Status [APPROVED], Operation [3DAUTH], UUID [3624289-1458730467-261] [23/03/2016 at 10:54:00]"/>
  </r>
  <r>
    <s v="3624238-1458730431-56"/>
    <s v="Spot"/>
    <s v="3624238-1458730431-56"/>
    <n v="0"/>
    <d v="2016-03-31T00:00:00"/>
    <x v="2130"/>
    <s v="56"/>
    <s v="SELL"/>
    <n v="3.3971276927880112"/>
    <x v="0"/>
    <x v="0"/>
    <n v="108.81"/>
    <s v="Deal"/>
    <m/>
    <s v="Original Amount [EUR 32.03], Merchant Amount [EUR 32.03], Customer Amount [TRY 108.81], Status [APPROVED], Operation [3DAUTH], UUID [3624238-1458730431-56] [23/03/2016 at 10:53:00]"/>
  </r>
  <r>
    <s v="3624202-1458730406-187"/>
    <s v="Spot"/>
    <s v="3624202-1458730406-187"/>
    <n v="0"/>
    <d v="2016-03-31T00:00:00"/>
    <x v="2131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4202-1458730406-187] [23/03/2016 at 10:53:00]"/>
  </r>
  <r>
    <s v="3624199-1458730404-216"/>
    <s v="Spot"/>
    <s v="3624199-1458730404-216"/>
    <n v="0"/>
    <d v="2016-03-31T00:00:00"/>
    <x v="213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4199-1458730404-216] [23/03/2016 at 10:53:00]"/>
  </r>
  <r>
    <s v="3624250-1458730438-216"/>
    <s v="Spot"/>
    <s v="3624250-1458730438-216"/>
    <n v="0"/>
    <d v="2016-03-31T00:00:00"/>
    <x v="2133"/>
    <s v="216"/>
    <s v="SELL"/>
    <n v="3.3974295600593178"/>
    <x v="0"/>
    <x v="0"/>
    <n v="68.73"/>
    <s v="Deal"/>
    <m/>
    <s v="Original Amount [EUR 20.23], Merchant Amount [EUR 20.23], Customer Amount [TRY 68.73], Status [APPROVED], Operation [3DAUTH], UUID [3624250-1458730438-216] [23/03/2016 at 10:53:00]"/>
  </r>
  <r>
    <s v="3624184-1458730397-160"/>
    <s v="Spot"/>
    <s v="3624184-1458730397-160"/>
    <n v="0"/>
    <d v="2016-03-31T00:00:00"/>
    <x v="2134"/>
    <s v="160"/>
    <s v="SELL"/>
    <n v="3.3969957081545061"/>
    <x v="0"/>
    <x v="0"/>
    <n v="63.32"/>
    <s v="Deal"/>
    <m/>
    <s v="Original Amount [EUR 18.64], Merchant Amount [EUR 18.64], Customer Amount [TRY 63.32], Status [APPROVED], Operation [3DAUTH], UUID [3624184-1458730397-160] [23/03/2016 at 10:53:00]"/>
  </r>
  <r>
    <s v="3624172-1458730380-107"/>
    <s v="Spot"/>
    <s v="3624172-1458730380-107"/>
    <n v="0"/>
    <d v="2016-03-31T00:00:00"/>
    <x v="2135"/>
    <s v="107"/>
    <s v="SELL"/>
    <n v="3.3973004694835685"/>
    <x v="0"/>
    <x v="0"/>
    <n v="57.89"/>
    <s v="Deal"/>
    <m/>
    <s v="Original Amount [EUR 17.04], Merchant Amount [EUR 17.04], Customer Amount [TRY 57.89], Status [WAITING], Operation [3D], UUID [3624172-1458730380-107] [23/03/2016 at 10:53:00]"/>
  </r>
  <r>
    <s v="3624166-1458730375-107"/>
    <s v="Spot"/>
    <s v="3624166-1458730375-107"/>
    <n v="0"/>
    <d v="2016-03-31T00:00:00"/>
    <x v="2136"/>
    <s v="107"/>
    <s v="SELL"/>
    <n v="3.3970303421562296"/>
    <x v="0"/>
    <x v="0"/>
    <n v="210.48"/>
    <s v="Deal"/>
    <m/>
    <s v="Original Amount [EUR 61.96], Merchant Amount [EUR 61.96], Customer Amount [TRY 210.48], Status [WAITING], Operation [3D], UUID [3624166-1458730375-107] [23/03/2016 at 10:52:00]"/>
  </r>
  <r>
    <s v="3624178-1458730394-216"/>
    <s v="Spot"/>
    <s v="3624178-1458730394-216"/>
    <n v="0"/>
    <d v="2016-03-31T00:00:00"/>
    <x v="2137"/>
    <s v="216"/>
    <s v="SELL"/>
    <n v="3.3972033257747545"/>
    <x v="0"/>
    <x v="0"/>
    <n v="89.89"/>
    <s v="Deal"/>
    <m/>
    <s v="Original Amount [EUR 26.46], Merchant Amount [EUR 26.46], Customer Amount [TRY 89.89], Status [APPROVED], Operation [3DAUTH], UUID [3624178-1458730394-216] [23/03/2016 at 10:53:00]"/>
  </r>
  <r>
    <s v="3624148-1458730351-224"/>
    <s v="Spot"/>
    <s v="3624148-1458730351-224"/>
    <n v="0"/>
    <d v="2016-03-31T00:00:00"/>
    <x v="2138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4148-1458730351-224] [23/03/2016 at 10:52:00]"/>
  </r>
  <r>
    <s v="3624142-1458730350-238"/>
    <s v="Spot"/>
    <s v="3624142-1458730350-238"/>
    <n v="0"/>
    <d v="2016-03-31T00:00:00"/>
    <x v="2139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142-1458730350-238] [23/03/2016 at 10:52:00]"/>
  </r>
  <r>
    <s v="3624133-1458730339-224"/>
    <s v="Spot"/>
    <s v="3624133-1458730339-224"/>
    <n v="0"/>
    <d v="2016-03-31T00:00:00"/>
    <x v="2140"/>
    <s v="224"/>
    <s v="SELL"/>
    <n v="132.99342105263156"/>
    <x v="0"/>
    <x v="3"/>
    <n v="6064.5"/>
    <s v="Deal"/>
    <m/>
    <s v="Original Amount [EUR 45.6], Merchant Amount [EUR 45.6], Customer Amount [JPY 6064.5], Status [APPROVED], Operation [DIRECT], UUID [3624133-1458730339-224] [23/03/2016 at 10:52:00]"/>
  </r>
  <r>
    <s v="3624169-1458730375-179"/>
    <s v="Spot"/>
    <s v="3624169-1458730375-179"/>
    <n v="0"/>
    <d v="2016-03-31T00:00:00"/>
    <x v="2141"/>
    <s v="179"/>
    <s v="SELL"/>
    <n v="3.3970446514616128"/>
    <x v="0"/>
    <x v="0"/>
    <n v="105.75"/>
    <s v="Deal"/>
    <m/>
    <s v="Original Amount [EUR 31.13], Merchant Amount [EUR 31.13], Customer Amount [TRY 105.75], Status [APPROVED], Operation [3DAUTH], UUID [3624169-1458730375-179] [23/03/2016 at 10:52:00]"/>
  </r>
  <r>
    <s v="3624121-1458730330-124"/>
    <s v="Spot"/>
    <s v="3624121-1458730330-124"/>
    <n v="0"/>
    <d v="2016-03-31T00:00:00"/>
    <x v="2142"/>
    <s v="124"/>
    <s v="SELL"/>
    <n v="9.9547908232118765"/>
    <x v="0"/>
    <x v="1"/>
    <n v="147.53"/>
    <s v="Deal"/>
    <m/>
    <s v="Original Amount [EUR 14.82], Merchant Amount [EUR 14.82], Customer Amount [NOK 147.53], Status [APPROVED], Operation [DIRECT], UUID [3624121-1458730330-124] [23/03/2016 at 10:52:00]"/>
  </r>
  <r>
    <s v="3624151-1458730357-216"/>
    <s v="Spot"/>
    <s v="3624151-1458730357-216"/>
    <n v="0"/>
    <d v="2016-03-31T00:00:00"/>
    <x v="2143"/>
    <s v="216"/>
    <s v="SELL"/>
    <n v="3.397129186602871"/>
    <x v="0"/>
    <x v="0"/>
    <n v="49.7"/>
    <s v="Deal"/>
    <m/>
    <s v="Original Amount [EUR 14.63], Merchant Amount [EUR 14.63], Customer Amount [TRY 49.7], Status [APPROVED], Operation [3DAUTH], UUID [3624151-1458730357-216] [23/03/2016 at 10:52:00]"/>
  </r>
  <r>
    <s v="3624112-1458730325-224"/>
    <s v="Spot"/>
    <s v="3624112-1458730325-224"/>
    <n v="0"/>
    <d v="2016-03-31T00:00:00"/>
    <x v="2144"/>
    <s v="224"/>
    <s v="SELL"/>
    <n v="9.9553158705701073"/>
    <x v="0"/>
    <x v="1"/>
    <n v="129.22"/>
    <s v="Deal"/>
    <m/>
    <s v="Original Amount [EUR 12.98], Merchant Amount [EUR 12.98], Customer Amount [NOK 129.22], Status [APPROVED], Operation [DIRECT], UUID [3624112-1458730325-224] [23/03/2016 at 10:52:00]"/>
  </r>
  <r>
    <s v="3624145-1458730351-107"/>
    <s v="Spot"/>
    <s v="3624145-1458730351-107"/>
    <n v="0"/>
    <d v="2016-03-31T00:00:00"/>
    <x v="2145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4145-1458730351-107] [23/03/2016 at 10:52:00]"/>
  </r>
  <r>
    <s v="3624085-1458730302-224"/>
    <s v="Spot"/>
    <s v="3624085-1458730302-224"/>
    <n v="0"/>
    <d v="2016-03-31T00:00:00"/>
    <x v="2146"/>
    <s v="224"/>
    <s v="SELL"/>
    <n v="132.99342105263156"/>
    <x v="0"/>
    <x v="3"/>
    <n v="3638.7"/>
    <s v="Deal"/>
    <m/>
    <s v="Original Amount [EUR 27.36], Merchant Amount [EUR 27.36], Customer Amount [JPY 3638.7], Status [APPROVED], Operation [DIRECT], UUID [3624085-1458730302-224] [23/03/2016 at 10:51:00]"/>
  </r>
  <r>
    <s v="3624061-1458730277-238"/>
    <s v="Spot"/>
    <s v="3624061-1458730277-238"/>
    <n v="0"/>
    <d v="2016-03-31T00:00:00"/>
    <x v="214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4061-1458730277-238] [23/03/2016 at 10:51:00]"/>
  </r>
  <r>
    <s v="3624100-1458730310-119"/>
    <s v="Spot"/>
    <s v="3624100-1458730310-119"/>
    <n v="0"/>
    <d v="2016-03-31T00:00:00"/>
    <x v="2148"/>
    <s v="119"/>
    <s v="SELL"/>
    <n v="9.954600000000001"/>
    <x v="0"/>
    <x v="1"/>
    <n v="995.46"/>
    <s v="Deal"/>
    <m/>
    <s v="Original Amount [EUR 100], Merchant Amount [EUR 100], Customer Amount [NOK 995.46], Status [APPROVED], Operation [3DAUTH], UUID [3624100-1458730310-119] [23/03/2016 at 10:51:00]"/>
  </r>
  <r>
    <s v="3624055-1458730275-224"/>
    <s v="Spot"/>
    <s v="3624055-1458730275-224"/>
    <n v="0"/>
    <d v="2016-03-31T00:00:00"/>
    <x v="2149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4055-1458730275-224] [23/03/2016 at 10:51:00]"/>
  </r>
  <r>
    <s v="3624067-1458730285-264"/>
    <s v="Spot"/>
    <s v="3624067-1458730285-264"/>
    <n v="0"/>
    <d v="2016-03-31T00:00:00"/>
    <x v="2150"/>
    <s v="264"/>
    <s v="SELL"/>
    <n v="3.3984593837535018"/>
    <x v="0"/>
    <x v="0"/>
    <n v="48.53"/>
    <s v="Deal"/>
    <m/>
    <s v="Original Amount [TRY 46], Merchant Amount [EUR 14.28], Customer Amount [TRY 48.53], Status [APPROVED], Operation [3DAUTH], UUID [3624067-1458730285-264] [23/03/2016 at 10:51:00]"/>
  </r>
  <r>
    <s v="3624088-1458730304-101"/>
    <s v="Spot"/>
    <s v="3624088-1458730304-101"/>
    <n v="0"/>
    <d v="2016-03-31T00:00:00"/>
    <x v="2151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88-1458730304-101] [23/03/2016 at 10:51:00]"/>
  </r>
  <r>
    <s v="3624043-1458730261-224"/>
    <s v="Spot"/>
    <s v="3624043-1458730261-224"/>
    <n v="0"/>
    <d v="2016-03-31T00:00:00"/>
    <x v="2152"/>
    <s v="224"/>
    <s v="SELL"/>
    <n v="132.88273788468339"/>
    <x v="0"/>
    <x v="3"/>
    <n v="7513.19"/>
    <s v="Deal"/>
    <m/>
    <s v="Original Amount [EUR 56.54], Merchant Amount [EUR 56.54], Customer Amount [JPY 7513.19], Status [APPROVED], Operation [DIRECT], UUID [3624043-1458730261-224] [23/03/2016 at 10:51:00]"/>
  </r>
  <r>
    <s v="3624070-1458730285-101"/>
    <s v="Spot"/>
    <s v="3624070-1458730285-101"/>
    <n v="0"/>
    <d v="2016-03-31T00:00:00"/>
    <x v="2153"/>
    <s v="101"/>
    <s v="SELL"/>
    <n v="3.3971276927880112"/>
    <x v="0"/>
    <x v="0"/>
    <n v="217.62"/>
    <s v="Deal"/>
    <m/>
    <s v="Original Amount [EUR 64.06], Merchant Amount [EUR 64.06], Customer Amount [TRY 217.62], Status [APPROVED], Operation [3DAUTH], UUID [3624070-1458730285-101] [23/03/2016 at 10:51:00]"/>
  </r>
  <r>
    <s v="3624031-1458730250-261"/>
    <s v="Spot"/>
    <s v="3624031-1458730250-261"/>
    <n v="0"/>
    <d v="2016-03-31T00:00:00"/>
    <x v="2154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4031-1458730250-261] [23/03/2016 at 10:50:00]"/>
  </r>
  <r>
    <s v="3624064-1458730283-216"/>
    <s v="Spot"/>
    <s v="3624064-1458730283-216"/>
    <n v="0"/>
    <d v="2016-03-31T00:00:00"/>
    <x v="215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4064-1458730283-216] [23/03/2016 at 10:51:00]"/>
  </r>
  <r>
    <s v="3624025-1458730248-224"/>
    <s v="Spot"/>
    <s v="3624025-1458730248-224"/>
    <n v="0"/>
    <d v="2016-03-31T00:00:00"/>
    <x v="215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4025-1458730248-224] [23/03/2016 at 10:50:00]"/>
  </r>
  <r>
    <s v="3624019-1458730239-187"/>
    <s v="Spot"/>
    <s v="3624019-1458730239-187"/>
    <n v="0"/>
    <d v="2016-03-31T00:00:00"/>
    <x v="2157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4019-1458730239-187] [23/03/2016 at 10:50:00]"/>
  </r>
  <r>
    <s v="3624094-1458730308-101"/>
    <s v="Spot"/>
    <s v="3624094-1458730308-101"/>
    <n v="0"/>
    <d v="2016-03-31T00:00:00"/>
    <x v="2158"/>
    <s v="101"/>
    <s v="SELL"/>
    <n v="3.3971539456662354"/>
    <x v="0"/>
    <x v="0"/>
    <n v="26.26"/>
    <s v="Deal"/>
    <m/>
    <s v="Original Amount [EUR 7.73], Merchant Amount [EUR 7.73], Customer Amount [TRY 26.26], Status [APPROVED], Operation [3DAUTH], UUID [3624094-1458730308-101] [23/03/2016 at 10:51:00]"/>
  </r>
  <r>
    <s v="3624040-1458730260-216"/>
    <s v="Spot"/>
    <s v="3624040-1458730260-216"/>
    <n v="0"/>
    <d v="2016-03-31T00:00:00"/>
    <x v="215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4040-1458730260-216] [23/03/2016 at 10:51:00]"/>
  </r>
  <r>
    <s v="3624010-1458730228-56"/>
    <s v="Spot"/>
    <s v="3624010-1458730228-56"/>
    <n v="0"/>
    <d v="2016-03-31T00:00:00"/>
    <x v="2160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4010-1458730228-56] [23/03/2016 at 10:50:00]"/>
  </r>
  <r>
    <s v="3624001-1458730217-216"/>
    <s v="Spot"/>
    <s v="3624001-1458730217-216"/>
    <n v="0"/>
    <d v="2016-03-31T00:00:00"/>
    <x v="2161"/>
    <s v="216"/>
    <s v="SELL"/>
    <n v="3.3970883534136549"/>
    <x v="0"/>
    <x v="0"/>
    <n v="338.35"/>
    <s v="Deal"/>
    <m/>
    <s v="Original Amount [EUR 99.6], Merchant Amount [EUR 99.6], Customer Amount [TRY 338.35], Status [APPROVED], Operation [3DAUTH], UUID [3624001-1458730217-216] [23/03/2016 at 10:50:00]"/>
  </r>
  <r>
    <s v="3623941-1458730152-126"/>
    <s v="Spot"/>
    <s v="3623941-1458730152-126"/>
    <n v="0"/>
    <d v="2016-03-31T00:00:00"/>
    <x v="2162"/>
    <s v="126"/>
    <s v="SELL"/>
    <n v="9.9420054200542012"/>
    <x v="0"/>
    <x v="1"/>
    <n v="183.43"/>
    <s v="Deal"/>
    <m/>
    <s v="Original Amount [EUR 18.45], Merchant Amount [EUR 18.45], Customer Amount [NOK 183.43], Status [APPROVED], Operation [3DAUTH], UUID [3623941-1458730152-126] [23/03/2016 at 10:49:00]"/>
  </r>
  <r>
    <s v="3623911-1458730106-224"/>
    <s v="Spot"/>
    <s v="3623911-1458730106-224"/>
    <n v="0"/>
    <d v="2016-03-31T00:00:00"/>
    <x v="2163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911-1458730106-224] [23/03/2016 at 10:48:00]"/>
  </r>
  <r>
    <s v="3623917-1458730111-216"/>
    <s v="Spot"/>
    <s v="3623917-1458730111-216"/>
    <n v="0"/>
    <d v="2016-03-31T00:00:00"/>
    <x v="2164"/>
    <s v="216"/>
    <s v="SELL"/>
    <n v="3.3922261484098941"/>
    <x v="0"/>
    <x v="0"/>
    <n v="105.6"/>
    <s v="Deal"/>
    <m/>
    <s v="Original Amount [EUR 31.13], Merchant Amount [EUR 31.13], Customer Amount [TRY 105.6], Status [APPROVED], Operation [3DAUTH], UUID [3623917-1458730111-216] [23/03/2016 at 10:48:00]"/>
  </r>
  <r>
    <s v="3623872-1458730071-119"/>
    <s v="Spot"/>
    <s v="3623872-1458730071-119"/>
    <n v="0"/>
    <d v="2016-03-31T00:00:00"/>
    <x v="2165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872-1458730071-119] [23/03/2016 at 10:47:00]"/>
  </r>
  <r>
    <s v="3623902-1458730095-216"/>
    <s v="Spot"/>
    <s v="3623902-1458730095-216"/>
    <n v="0"/>
    <d v="2016-03-31T00:00:00"/>
    <x v="2166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902-1458730095-216] [23/03/2016 at 10:48:00]"/>
  </r>
  <r>
    <s v="3623851-1458730052-126"/>
    <s v="Spot"/>
    <s v="3623851-1458730052-126"/>
    <n v="0"/>
    <d v="2016-03-31T00:00:00"/>
    <x v="2167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3851-1458730052-126] [23/03/2016 at 10:47:00]"/>
  </r>
  <r>
    <s v="3623845-1458730049-125"/>
    <s v="Spot"/>
    <s v="3623845-1458730049-125"/>
    <n v="0"/>
    <d v="2016-03-31T00:00:00"/>
    <x v="2168"/>
    <s v="125"/>
    <s v="SELL"/>
    <n v="132.9933"/>
    <x v="0"/>
    <x v="3"/>
    <n v="26598.66"/>
    <s v="Deal"/>
    <m/>
    <s v="Original Amount [EUR 200], Merchant Amount [EUR 200], Customer Amount [JPY 26598.66], Status [APPROVED], Operation [DIRECT], UUID [3623845-1458730049-125] [23/03/2016 at 10:47:00]"/>
  </r>
  <r>
    <s v="3623866-1458730066-56"/>
    <s v="Spot"/>
    <s v="3623866-1458730066-56"/>
    <n v="0"/>
    <d v="2016-03-31T00:00:00"/>
    <x v="2169"/>
    <s v="56"/>
    <s v="SELL"/>
    <n v="3.3919875130072845"/>
    <x v="0"/>
    <x v="0"/>
    <n v="325.97000000000003"/>
    <s v="Deal"/>
    <m/>
    <s v="Original Amount [EUR 96.1], Merchant Amount [EUR 96.1], Customer Amount [TRY 325.97], Status [APPROVED], Operation [3DAUTH], UUID [3623866-1458730066-56] [23/03/2016 at 10:47:00]"/>
  </r>
  <r>
    <s v="3623833-1458730040-187"/>
    <s v="Spot"/>
    <s v="3623833-1458730040-187"/>
    <n v="0"/>
    <d v="2016-03-31T00:00:00"/>
    <x v="217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3833-1458730040-187] [23/03/2016 at 10:47:00]"/>
  </r>
  <r>
    <s v="3623848-1458730049-56"/>
    <s v="Spot"/>
    <s v="3623848-1458730049-56"/>
    <n v="0"/>
    <d v="2016-03-31T00:00:00"/>
    <x v="2171"/>
    <s v="56"/>
    <s v="SELL"/>
    <n v="3.3919650291423813"/>
    <x v="0"/>
    <x v="0"/>
    <n v="162.94999999999999"/>
    <s v="Deal"/>
    <m/>
    <s v="Original Amount [EUR 48.04], Merchant Amount [EUR 48.04], Customer Amount [TRY 162.95], Status [APPROVED], Operation [3DAUTH], UUID [3623848-1458730049-56] [23/03/2016 at 10:47:00]"/>
  </r>
  <r>
    <s v="3623797-1458729999-145"/>
    <s v="Spot"/>
    <s v="3623797-1458729999-145"/>
    <n v="0"/>
    <d v="2016-03-31T00:00:00"/>
    <x v="2172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797-1458729999-145] [23/03/2016 at 10:46:00]"/>
  </r>
  <r>
    <s v="3623794-1458729996-216"/>
    <s v="Spot"/>
    <s v="3623794-1458729996-216"/>
    <n v="0"/>
    <d v="2016-03-31T00:00:00"/>
    <x v="217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794-1458729996-216] [23/03/2016 at 10:46:00]"/>
  </r>
  <r>
    <s v="3623824-1458730034-216"/>
    <s v="Spot"/>
    <s v="3623824-1458730034-216"/>
    <n v="0"/>
    <d v="2016-03-31T00:00:00"/>
    <x v="2174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3824-1458730034-216] [23/03/2016 at 10:47:00]"/>
  </r>
  <r>
    <s v="3623818-1458730016-216"/>
    <s v="Spot"/>
    <s v="3623818-1458730016-216"/>
    <n v="0"/>
    <d v="2016-03-31T00:00:00"/>
    <x v="2175"/>
    <s v="216"/>
    <s v="SELL"/>
    <n v="3.3919678714859436"/>
    <x v="0"/>
    <x v="0"/>
    <n v="42.23"/>
    <s v="Deal"/>
    <m/>
    <s v="Original Amount [EUR 12.45], Merchant Amount [EUR 12.45], Customer Amount [TRY 42.23], Status [APPROVED], Operation [3DAUTH], UUID [3623818-1458730016-216] [23/03/2016 at 10:46:00]"/>
  </r>
  <r>
    <s v="3623854-1458730056-56"/>
    <s v="Spot"/>
    <s v="3623854-1458730056-56"/>
    <n v="0"/>
    <d v="2016-03-31T00:00:00"/>
    <x v="2176"/>
    <s v="56"/>
    <s v="SELL"/>
    <n v="3.3928571428571423"/>
    <x v="0"/>
    <x v="0"/>
    <n v="30.4"/>
    <s v="Deal"/>
    <m/>
    <s v="Original Amount [EUR 8.96], Merchant Amount [EUR 8.96], Customer Amount [TRY 30.4], Status [APPROVED], Operation [3DAUTH], UUID [3623854-1458730056-56] [23/03/2016 at 10:47:00]"/>
  </r>
  <r>
    <s v="3623773-1458729956-216"/>
    <s v="Spot"/>
    <s v="3623773-1458729956-216"/>
    <n v="0"/>
    <d v="2016-03-31T00:00:00"/>
    <x v="2177"/>
    <s v="216"/>
    <s v="SELL"/>
    <n v="3.3920308483290489"/>
    <x v="0"/>
    <x v="0"/>
    <n v="79.17"/>
    <s v="Deal"/>
    <m/>
    <s v="Original Amount [EUR 23.34], Merchant Amount [EUR 23.34], Customer Amount [TRY 79.17], Status [WAITING], Operation [3D], UUID [3623773-1458729956-216] [23/03/2016 at 10:45:00]"/>
  </r>
  <r>
    <s v="3623758-1458729940-261"/>
    <s v="Spot"/>
    <s v="3623758-1458729940-261"/>
    <n v="0"/>
    <d v="2016-03-31T00:00:00"/>
    <x v="2178"/>
    <s v="261"/>
    <s v="SELL"/>
    <n v="9.9411214953271045"/>
    <x v="0"/>
    <x v="1"/>
    <n v="106.37"/>
    <s v="Deal"/>
    <m/>
    <s v="Original Amount [EUR 10.7], Merchant Amount [EUR 10.7], Customer Amount [NOK 106.37], Status [APPROVED], Operation [DIRECT], UUID [3623758-1458729940-261] [23/03/2016 at 10:45:00]"/>
  </r>
  <r>
    <s v="3623815-1458730011-56"/>
    <s v="Spot"/>
    <s v="3623815-1458730011-56"/>
    <n v="0"/>
    <d v="2016-03-31T00:00:00"/>
    <x v="2179"/>
    <s v="56"/>
    <s v="SELL"/>
    <n v="3.3927083333333337"/>
    <x v="0"/>
    <x v="0"/>
    <n v="32.57"/>
    <s v="Deal"/>
    <m/>
    <s v="Original Amount [EUR 9.6], Merchant Amount [EUR 9.6], Customer Amount [TRY 32.57], Status [APPROVED], Operation [3DAUTH], UUID [3623815-1458730011-56] [23/03/2016 at 10:46:00]"/>
  </r>
  <r>
    <s v="3623761-1458729941-203"/>
    <s v="Spot"/>
    <s v="3623761-1458729941-203"/>
    <n v="0"/>
    <d v="2016-03-31T00:00:00"/>
    <x v="2180"/>
    <s v="203"/>
    <s v="SELL"/>
    <n v="3.3919999999999999"/>
    <x v="0"/>
    <x v="0"/>
    <n v="262.88"/>
    <s v="Deal"/>
    <m/>
    <s v="Original Amount [EUR 77.5], Merchant Amount [EUR 77.5], Customer Amount [TRY 262.88], Status [APPROVED], Operation [3DAUTH], UUID [3623761-1458729941-203] [23/03/2016 at 10:45:00]"/>
  </r>
  <r>
    <s v="3623743-1458729921-119"/>
    <s v="Spot"/>
    <s v="3623743-1458729921-119"/>
    <n v="0"/>
    <d v="2016-03-31T00:00:00"/>
    <x v="2181"/>
    <s v="119"/>
    <s v="SELL"/>
    <n v="9.9410666666666678"/>
    <x v="0"/>
    <x v="1"/>
    <n v="2982.32"/>
    <s v="Deal"/>
    <m/>
    <s v="Original Amount [EUR 300], Merchant Amount [EUR 300], Customer Amount [NOK 2982.32], Status [APPROVED], Operation [DIRECT], UUID [3623743-1458729921-119] [23/03/2016 at 10:45:00]"/>
  </r>
  <r>
    <s v="3623740-1458729921-187"/>
    <s v="Spot"/>
    <s v="3623740-1458729921-187"/>
    <n v="0"/>
    <d v="2016-03-31T00:00:00"/>
    <x v="2182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3740-1458729921-187] [23/03/2016 at 10:45:00]"/>
  </r>
  <r>
    <s v="3623734-1458729912-187"/>
    <s v="Spot"/>
    <s v="3623734-1458729912-187"/>
    <n v="0"/>
    <d v="2016-03-31T00:00:00"/>
    <x v="2183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734-1458729912-187] [23/03/2016 at 10:45:00]"/>
  </r>
  <r>
    <s v="3623731-1458729909-261"/>
    <s v="Spot"/>
    <s v="3623731-1458729909-261"/>
    <n v="0"/>
    <d v="2016-03-31T00:00:00"/>
    <x v="2184"/>
    <s v="261"/>
    <s v="SELL"/>
    <n v="9.9411214953271045"/>
    <x v="0"/>
    <x v="1"/>
    <n v="212.74"/>
    <s v="Deal"/>
    <m/>
    <s v="Original Amount [EUR 21.4], Merchant Amount [EUR 21.4], Customer Amount [NOK 212.74], Status [APPROVED], Operation [DIRECT], UUID [3623731-1458729909-261] [23/03/2016 at 10:45:00]"/>
  </r>
  <r>
    <s v="3623770-1458729944-56"/>
    <s v="Spot"/>
    <s v="3623770-1458729944-56"/>
    <n v="0"/>
    <d v="2016-03-31T00:00:00"/>
    <x v="2185"/>
    <s v="56"/>
    <s v="SELL"/>
    <n v="3.392030156165859"/>
    <x v="0"/>
    <x v="0"/>
    <n v="62.99"/>
    <s v="Deal"/>
    <m/>
    <s v="Original Amount [EUR 18.57], Merchant Amount [EUR 18.57], Customer Amount [TRY 62.99], Status [APPROVED], Operation [3DAUTH], UUID [3623770-1458729944-56] [23/03/2016 at 10:45:00]"/>
  </r>
  <r>
    <s v="3623752-1458729932-107"/>
    <s v="Spot"/>
    <s v="3623752-1458729932-107"/>
    <n v="0"/>
    <d v="2016-03-31T00:00:00"/>
    <x v="2186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3752-1458729932-107] [23/03/2016 at 10:45:00]"/>
  </r>
  <r>
    <s v="3623716-1458729889-101"/>
    <s v="Spot"/>
    <s v="3623716-1458729889-101"/>
    <n v="0"/>
    <d v="2016-03-31T00:00:00"/>
    <x v="2187"/>
    <s v="101"/>
    <s v="SELL"/>
    <n v="3.3971722365038559"/>
    <x v="0"/>
    <x v="0"/>
    <n v="185.01"/>
    <s v="Deal"/>
    <m/>
    <s v="Original Amount [EUR 54.46], Merchant Amount [EUR 54.46], Customer Amount [TRY 185.01], Status [WAITING], Operation [3D], UUID [3623716-1458729889-101] [23/03/2016 at 10:44:00]"/>
  </r>
  <r>
    <s v="3623695-1458729862-238"/>
    <s v="Spot"/>
    <s v="3623695-1458729862-238"/>
    <n v="0"/>
    <d v="2016-03-31T00:00:00"/>
    <x v="2188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695-1458729862-238] [23/03/2016 at 10:44:00]"/>
  </r>
  <r>
    <s v="3623710-1458729885-216"/>
    <s v="Spot"/>
    <s v="3623710-1458729885-216"/>
    <n v="0"/>
    <d v="2016-03-31T00:00:00"/>
    <x v="2189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3710-1458729885-216] [23/03/2016 at 10:44:00]"/>
  </r>
  <r>
    <s v="3623701-1458729873-56"/>
    <s v="Spot"/>
    <s v="3623701-1458729873-56"/>
    <n v="0"/>
    <d v="2016-03-31T00:00:00"/>
    <x v="2190"/>
    <s v="56"/>
    <s v="SELL"/>
    <n v="3.3975"/>
    <x v="0"/>
    <x v="0"/>
    <n v="27.18"/>
    <s v="Deal"/>
    <m/>
    <s v="Original Amount [EUR 8], Merchant Amount [EUR 8], Customer Amount [TRY 27.18], Status [APPROVED], Operation [3DAUTH], UUID [3623701-1458729873-56] [23/03/2016 at 10:44:00]"/>
  </r>
  <r>
    <s v="3623677-1458729841-200"/>
    <s v="Spot"/>
    <s v="3623677-1458729841-200"/>
    <n v="0"/>
    <d v="2016-03-31T00:00:00"/>
    <x v="2191"/>
    <s v="200"/>
    <s v="SELL"/>
    <n v="9.9420000000000002"/>
    <x v="0"/>
    <x v="1"/>
    <n v="149.13"/>
    <s v="Deal"/>
    <m/>
    <s v="Original Amount [EUR 15], Merchant Amount [EUR 15], Customer Amount [NOK 149.13], Status [APPROVED], Operation [STORED], UUID [3623677-1458729841-200] [23/03/2016 at 10:44:00]"/>
  </r>
  <r>
    <s v="3623671-1458729838-224"/>
    <s v="Spot"/>
    <s v="3623671-1458729838-224"/>
    <n v="0"/>
    <d v="2016-03-31T00:00:00"/>
    <x v="219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3671-1458729838-224] [23/03/2016 at 10:43:00]"/>
  </r>
  <r>
    <s v="3623662-1458729825-224"/>
    <s v="Spot"/>
    <s v="3623662-1458729825-224"/>
    <n v="0"/>
    <d v="2016-03-31T00:00:00"/>
    <x v="2193"/>
    <s v="224"/>
    <s v="SELL"/>
    <n v="132.83242479805739"/>
    <x v="0"/>
    <x v="3"/>
    <n v="53608.51"/>
    <s v="Deal"/>
    <m/>
    <s v="Original Amount [EUR 403.58], Merchant Amount [EUR 403.58], Customer Amount [JPY 53608.51], Status [APPROVED], Operation [DIRECT], UUID [3623662-1458729825-224] [23/03/2016 at 10:43:00]"/>
  </r>
  <r>
    <s v="3623665-1458729828-216"/>
    <s v="Spot"/>
    <s v="3623665-1458729828-216"/>
    <n v="0"/>
    <d v="2016-03-31T00:00:00"/>
    <x v="2194"/>
    <s v="216"/>
    <s v="SELL"/>
    <n v="3.3971084337349398"/>
    <x v="0"/>
    <x v="0"/>
    <n v="211.47"/>
    <s v="Deal"/>
    <m/>
    <s v="Original Amount [EUR 62.25], Merchant Amount [EUR 62.25], Customer Amount [TRY 211.47], Status [APPROVED], Operation [3DAUTH], UUID [3623665-1458729828-216] [23/03/2016 at 10:43:00]"/>
  </r>
  <r>
    <s v="3623659-1458729825-216"/>
    <s v="Spot"/>
    <s v="3623659-1458729825-216"/>
    <n v="0"/>
    <d v="2016-03-31T00:00:00"/>
    <x v="2195"/>
    <s v="216"/>
    <s v="SELL"/>
    <n v="3.3970075270791265"/>
    <x v="0"/>
    <x v="0"/>
    <n v="1110.21"/>
    <s v="Deal"/>
    <m/>
    <s v="Original Amount [EUR 326.82], Merchant Amount [EUR 326.82], Customer Amount [TRY 1110.21], Status [APPROVED], Operation [3DAUTH], UUID [3623659-1458729825-216] [23/03/2016 at 10:43:00]"/>
  </r>
  <r>
    <s v="3623632-1458729796-224"/>
    <s v="Spot"/>
    <s v="3623632-1458729796-224"/>
    <n v="0"/>
    <d v="2016-03-31T00:00:00"/>
    <x v="2196"/>
    <s v="224"/>
    <s v="SELL"/>
    <n v="9.9419127713671021"/>
    <x v="0"/>
    <x v="1"/>
    <n v="508.33"/>
    <s v="Deal"/>
    <m/>
    <s v="Original Amount [EUR 51.13], Merchant Amount [EUR 51.13], Customer Amount [NOK 508.33], Status [APPROVED], Operation [DIRECT], UUID [3623632-1458729796-224] [23/03/2016 at 10:43:00]"/>
  </r>
  <r>
    <s v="3623629-1458729790-224"/>
    <s v="Spot"/>
    <s v="3623629-1458729790-224"/>
    <n v="0"/>
    <d v="2016-03-31T00:00:00"/>
    <x v="2197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3629-1458729790-224] [23/03/2016 at 10:43:00]"/>
  </r>
  <r>
    <s v="3623635-1458729798-101"/>
    <s v="Spot"/>
    <s v="3623635-1458729798-101"/>
    <n v="0"/>
    <d v="2016-03-31T00:00:00"/>
    <x v="2198"/>
    <s v="101"/>
    <s v="SELL"/>
    <n v="3.3975"/>
    <x v="0"/>
    <x v="0"/>
    <n v="27.18"/>
    <s v="Deal"/>
    <m/>
    <s v="Original Amount [EUR 8], Merchant Amount [EUR 8], Customer Amount [TRY 27.18], Status [APPROVED], Operation [3DAUTH], UUID [3623635-1458729798-101] [23/03/2016 at 10:43:00]"/>
  </r>
  <r>
    <s v="3623653-1458729819-216"/>
    <s v="Spot"/>
    <s v="3623653-1458729819-216"/>
    <n v="0"/>
    <d v="2016-03-31T00:00:00"/>
    <x v="2199"/>
    <s v="216"/>
    <s v="SELL"/>
    <n v="3.3970548862115124"/>
    <x v="0"/>
    <x v="0"/>
    <n v="253.76"/>
    <s v="Deal"/>
    <m/>
    <s v="Original Amount [EUR 74.7], Merchant Amount [EUR 74.7], Customer Amount [TRY 253.76], Status [APPROVED], Operation [3DAUTH], UUID [3623653-1458729819-216] [23/03/2016 at 10:43:00]"/>
  </r>
  <r>
    <s v="3623962-1458730187-216"/>
    <s v="Spot"/>
    <s v="3623962-1458730187-216"/>
    <n v="0"/>
    <d v="2016-03-31T00:00:00"/>
    <x v="2200"/>
    <s v="216"/>
    <s v="SELL"/>
    <n v="3.3970871707003645"/>
    <x v="0"/>
    <x v="0"/>
    <n v="317.22000000000003"/>
    <s v="Deal"/>
    <m/>
    <s v="Original Amount [EUR 93.38], Merchant Amount [EUR 93.38], Customer Amount [TRY 317.22], Status [APPROVED], Operation [3DAUTH], UUID [3623962-1458730187-216] [23/03/2016 at 10:49:00]"/>
  </r>
  <r>
    <s v="3623590-1458729739-199"/>
    <s v="Spot"/>
    <s v="3623590-1458729739-199"/>
    <n v="0"/>
    <d v="2016-03-31T00:00:00"/>
    <x v="22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3590-1458729739-199] [23/03/2016 at 10:42:00]"/>
  </r>
  <r>
    <s v="3623587-1458729737-187"/>
    <s v="Spot"/>
    <s v="3623587-1458729737-187"/>
    <n v="0"/>
    <d v="2016-03-31T00:00:00"/>
    <x v="2202"/>
    <s v="187"/>
    <s v="SELL"/>
    <n v="9.9419550009453594"/>
    <x v="0"/>
    <x v="1"/>
    <n v="525.83000000000004"/>
    <s v="Deal"/>
    <m/>
    <s v="Original Amount [EUR 52.89], Merchant Amount [EUR 52.89], Customer Amount [NOK 525.83], Status [APPROVED], Operation [DIRECT], UUID [3623587-1458729737-187] [23/03/2016 at 10:42:00]"/>
  </r>
  <r>
    <s v="3623584-1458729728-56"/>
    <s v="Spot"/>
    <s v="3623584-1458729728-56"/>
    <n v="0"/>
    <d v="2016-03-31T00:00:00"/>
    <x v="2203"/>
    <s v="56"/>
    <s v="SELL"/>
    <n v="3.3975"/>
    <x v="0"/>
    <x v="0"/>
    <n v="27.18"/>
    <s v="Deal"/>
    <m/>
    <s v="Original Amount [EUR 8], Merchant Amount [EUR 8], Customer Amount [TRY 27.18], Status [WAITING], Operation [3D], UUID [3623584-1458729728-56] [23/03/2016 at 10:42:00]"/>
  </r>
  <r>
    <s v="3623611-1458729766-203"/>
    <s v="Spot"/>
    <s v="3623611-1458729766-203"/>
    <n v="0"/>
    <d v="2016-03-31T00:00:00"/>
    <x v="2204"/>
    <s v="203"/>
    <s v="SELL"/>
    <n v="3.3920430107526878"/>
    <x v="0"/>
    <x v="0"/>
    <n v="157.72999999999999"/>
    <s v="Deal"/>
    <m/>
    <s v="Original Amount [EUR 46.5], Merchant Amount [EUR 46.5], Customer Amount [TRY 157.73], Status [APPROVED], Operation [3DAUTH], UUID [3623611-1458729766-203] [23/03/2016 at 10:42:00]"/>
  </r>
  <r>
    <s v="3623569-1458729708-126"/>
    <s v="Spot"/>
    <s v="3623569-1458729708-126"/>
    <n v="0"/>
    <d v="2016-03-31T00:00:00"/>
    <x v="2205"/>
    <s v="126"/>
    <s v="SELL"/>
    <n v="9.9547317073170731"/>
    <x v="0"/>
    <x v="1"/>
    <n v="510.18"/>
    <s v="Deal"/>
    <m/>
    <s v="Original Amount [EUR 51.25], Merchant Amount [EUR 51.25], Customer Amount [NOK 510.18], Status [APPROVED], Operation [DIRECT], UUID [3623569-1458729708-126] [23/03/2016 at 10:41:00]"/>
  </r>
  <r>
    <s v="3623566-1458729706-124"/>
    <s v="Spot"/>
    <s v="3623566-1458729706-124"/>
    <n v="0"/>
    <d v="2016-03-31T00:00:00"/>
    <x v="2206"/>
    <s v="124"/>
    <s v="SELL"/>
    <n v="9.9545626298885317"/>
    <x v="0"/>
    <x v="1"/>
    <n v="1053.79"/>
    <s v="Deal"/>
    <m/>
    <s v="Original Amount [EUR 105.86], Merchant Amount [EUR 105.86], Customer Amount [NOK 1053.79], Status [APPROVED], Operation [DIRECT], UUID [3623566-1458729706-124] [23/03/2016 at 10:41:00]"/>
  </r>
  <r>
    <s v="3623560-1458729702-238"/>
    <s v="Spot"/>
    <s v="3623560-1458729702-238"/>
    <n v="0"/>
    <d v="2016-03-31T00:00:00"/>
    <x v="22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3560-1458729702-238] [23/03/2016 at 10:41:00]"/>
  </r>
  <r>
    <s v="3623551-1458729697-224"/>
    <s v="Spot"/>
    <s v="3623551-1458729697-224"/>
    <n v="0"/>
    <d v="2016-03-31T00:00:00"/>
    <x v="2208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3551-1458729697-224] [23/03/2016 at 10:41:00]"/>
  </r>
  <r>
    <s v="3623545-1458729693-56"/>
    <s v="Spot"/>
    <s v="3623545-1458729693-56"/>
    <n v="0"/>
    <d v="2016-03-31T00:00:00"/>
    <x v="2209"/>
    <s v="56"/>
    <s v="SELL"/>
    <n v="3.3925000000000001"/>
    <x v="0"/>
    <x v="0"/>
    <n v="27.14"/>
    <s v="Deal"/>
    <m/>
    <s v="Original Amount [EUR 8], Merchant Amount [EUR 8], Customer Amount [TRY 27.14], Status [WAITING], Operation [3D], UUID [3623545-1458729693-56] [23/03/2016 at 10:41:00]"/>
  </r>
  <r>
    <s v="3623536-1458729676-199"/>
    <s v="Spot"/>
    <s v="3623536-1458729676-199"/>
    <n v="0"/>
    <d v="2016-03-31T00:00:00"/>
    <x v="2210"/>
    <s v="199"/>
    <s v="SELL"/>
    <n v="9.9545626084987546"/>
    <x v="0"/>
    <x v="1"/>
    <n v="2637.76"/>
    <s v="Deal"/>
    <m/>
    <s v="Original Amount [EUR 264.98], Merchant Amount [EUR 264.98], Customer Amount [NOK 2637.76], Status [APPROVED], Operation [DIRECT], UUID [3623536-1458729676-199] [23/03/2016 at 10:41:00]"/>
  </r>
  <r>
    <s v="3623542-1458729689-102"/>
    <s v="Spot"/>
    <s v="3623542-1458729689-102"/>
    <n v="0"/>
    <d v="2016-03-31T00:00:00"/>
    <x v="2211"/>
    <s v="102"/>
    <s v="SELL"/>
    <n v="3.3924731182795695"/>
    <x v="0"/>
    <x v="0"/>
    <n v="31.55"/>
    <s v="Deal"/>
    <m/>
    <s v="Original Amount [EUR 9.3], Merchant Amount [EUR 9.3], Customer Amount [TRY 31.55], Status [APPROVED], Operation [3DAUTH], UUID [3623542-1458729689-102] [23/03/2016 at 10:41:00]"/>
  </r>
  <r>
    <s v="3623503-1458729638-216"/>
    <s v="Spot"/>
    <s v="3623503-1458729638-216"/>
    <n v="0"/>
    <d v="2016-03-31T00:00:00"/>
    <x v="2212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3-1458729638-216] [23/03/2016 at 10:40:00]"/>
  </r>
  <r>
    <s v="3623500-1458729634-216"/>
    <s v="Spot"/>
    <s v="3623500-1458729634-216"/>
    <n v="0"/>
    <d v="2016-03-31T00:00:00"/>
    <x v="2213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500-1458729634-216] [23/03/2016 at 10:40:00]"/>
  </r>
  <r>
    <s v="3623524-1458729660-124"/>
    <s v="Spot"/>
    <s v="3623524-1458729660-124"/>
    <n v="0"/>
    <d v="2016-03-31T00:00:00"/>
    <x v="2214"/>
    <s v="124"/>
    <s v="SELL"/>
    <n v="9.9546341463414638"/>
    <x v="0"/>
    <x v="1"/>
    <n v="1020.35"/>
    <s v="Deal"/>
    <m/>
    <s v="Original Amount [EUR 102.5], Merchant Amount [EUR 102.5], Customer Amount [NOK 1020.35], Status [APPROVED], Operation [3DAUTH], UUID [3623524-1458729660-124] [23/03/2016 at 10:41:00]"/>
  </r>
  <r>
    <s v="3623485-1458729601-216"/>
    <s v="Spot"/>
    <s v="3623485-1458729601-216"/>
    <n v="0"/>
    <d v="2016-03-31T00:00:00"/>
    <x v="2215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3485-1458729601-216] [23/03/2016 at 10:40:00]"/>
  </r>
  <r>
    <s v="3623479-1458729595-145"/>
    <s v="Spot"/>
    <s v="3623479-1458729595-145"/>
    <n v="0"/>
    <d v="2016-03-31T00:00:00"/>
    <x v="2216"/>
    <s v="145"/>
    <s v="SELL"/>
    <n v="9.9547596606974569"/>
    <x v="0"/>
    <x v="1"/>
    <n v="105.62"/>
    <s v="Deal"/>
    <m/>
    <s v="Original Amount [EUR 10.61], Merchant Amount [EUR 10.61], Customer Amount [NOK 105.62], Status [APPROVED], Operation [DIRECT], UUID [3623479-1458729595-145] [23/03/2016 at 10:39:00]"/>
  </r>
  <r>
    <s v="3623470-1458729589-187"/>
    <s v="Spot"/>
    <s v="3623470-1458729589-187"/>
    <n v="0"/>
    <d v="2016-03-31T00:00:00"/>
    <x v="2217"/>
    <s v="187"/>
    <s v="SELL"/>
    <n v="9.9546228020419729"/>
    <x v="0"/>
    <x v="1"/>
    <n v="526.5"/>
    <s v="Deal"/>
    <m/>
    <s v="Original Amount [EUR 52.89], Merchant Amount [EUR 52.89], Customer Amount [NOK 526.5], Status [APPROVED], Operation [DIRECT], UUID [3623470-1458729589-187] [23/03/2016 at 10:39:00]"/>
  </r>
  <r>
    <s v="3623467-1458729584-200"/>
    <s v="Spot"/>
    <s v="3623467-1458729584-200"/>
    <n v="0"/>
    <d v="2016-03-31T00:00:00"/>
    <x v="221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3467-1458729584-200] [23/03/2016 at 10:39:00]"/>
  </r>
  <r>
    <s v="3623497-1458729630-101"/>
    <s v="Spot"/>
    <s v="3623497-1458729630-101"/>
    <n v="0"/>
    <d v="2016-03-31T00:00:00"/>
    <x v="2219"/>
    <s v="101"/>
    <s v="SELL"/>
    <n v="3.3919652551574373"/>
    <x v="0"/>
    <x v="0"/>
    <n v="249.92"/>
    <s v="Deal"/>
    <m/>
    <s v="Original Amount [EUR 73.68], Merchant Amount [EUR 73.68], Customer Amount [TRY 249.92], Status [APPROVED], Operation [3DAUTH], UUID [3623497-1458729630-101] [23/03/2016 at 10:40:00]"/>
  </r>
  <r>
    <s v="3623473-1458729591-216"/>
    <s v="Spot"/>
    <s v="3623473-1458729591-216"/>
    <n v="0"/>
    <d v="2016-03-31T00:00:00"/>
    <x v="222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3473-1458729591-216] [23/03/2016 at 10:39:00]"/>
  </r>
  <r>
    <s v="3623434-1458729540-119"/>
    <s v="Spot"/>
    <s v="3623434-1458729540-119"/>
    <n v="0"/>
    <d v="2016-03-31T00:00:00"/>
    <x v="222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3434-1458729540-119] [23/03/2016 at 10:39:00]"/>
  </r>
  <r>
    <s v="3623461-1458729576-216"/>
    <s v="Spot"/>
    <s v="3623461-1458729576-216"/>
    <n v="0"/>
    <d v="2016-03-31T00:00:00"/>
    <x v="2222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461-1458729576-216] [23/03/2016 at 10:39:00]"/>
  </r>
  <r>
    <s v="3623449-1458729554-216"/>
    <s v="Spot"/>
    <s v="3623449-1458729554-216"/>
    <n v="0"/>
    <d v="2016-03-31T00:00:00"/>
    <x v="2223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3449-1458729554-216] [23/03/2016 at 10:39:00]"/>
  </r>
  <r>
    <s v="3623419-1458729512-196"/>
    <s v="Spot"/>
    <s v="3623419-1458729512-196"/>
    <n v="0"/>
    <d v="2016-03-31T00:00:00"/>
    <x v="2224"/>
    <s v="196"/>
    <s v="SELL"/>
    <n v="9.9412355600200915"/>
    <x v="0"/>
    <x v="1"/>
    <n v="197.93"/>
    <s v="Deal"/>
    <m/>
    <s v="Original Amount [EUR 19.91], Merchant Amount [EUR 19.91], Customer Amount [NOK 197.93], Status [APPROVED], Operation [3DAUTH], UUID [3623419-1458729512-196] [23/03/2016 at 10:38:00]"/>
  </r>
  <r>
    <s v="3623398-1458729478-224"/>
    <s v="Spot"/>
    <s v="3623398-1458729478-224"/>
    <n v="0"/>
    <d v="2016-03-31T00:00:00"/>
    <x v="2225"/>
    <s v="224"/>
    <s v="SELL"/>
    <n v="9.9411304517895562"/>
    <x v="0"/>
    <x v="1"/>
    <n v="508.29"/>
    <s v="Deal"/>
    <m/>
    <s v="Original Amount [EUR 51.13], Merchant Amount [EUR 51.13], Customer Amount [NOK 508.29], Status [APPROVED], Operation [DIRECT], UUID [3623398-1458729478-224] [23/03/2016 at 10:37:00]"/>
  </r>
  <r>
    <s v="3623395-1458729477-102"/>
    <s v="Spot"/>
    <s v="3623395-1458729477-102"/>
    <n v="0"/>
    <d v="2016-03-31T00:00:00"/>
    <x v="2226"/>
    <s v="102"/>
    <s v="SELL"/>
    <n v="3.3973249409913451"/>
    <x v="0"/>
    <x v="0"/>
    <n v="43.18"/>
    <s v="Deal"/>
    <m/>
    <s v="Original Amount [EUR 12.71], Merchant Amount [EUR 12.71], Customer Amount [TRY 43.18], Status [WAITING], Operation [3D], UUID [3623395-1458729477-102] [23/03/2016 at 10:37:00]"/>
  </r>
  <r>
    <s v="3623392-1458729473-145"/>
    <s v="Spot"/>
    <s v="3623392-1458729473-145"/>
    <n v="0"/>
    <d v="2016-03-31T00:00:00"/>
    <x v="2227"/>
    <s v="145"/>
    <s v="SELL"/>
    <n v="9.9412319296040224"/>
    <x v="0"/>
    <x v="1"/>
    <n v="316.33"/>
    <s v="Deal"/>
    <m/>
    <s v="Original Amount [EUR 31.82], Merchant Amount [EUR 31.82], Customer Amount [NOK 316.33], Status [APPROVED], Operation [DIRECT], UUID [3623392-1458729473-145] [23/03/2016 at 10:37:00]"/>
  </r>
  <r>
    <s v="3623389-1458729472-126"/>
    <s v="Spot"/>
    <s v="3623389-1458729472-126"/>
    <n v="0"/>
    <d v="2016-03-31T00:00:00"/>
    <x v="2228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3389-1458729472-126] [23/03/2016 at 10:37:00]"/>
  </r>
  <r>
    <s v="3623386-1458729462-119"/>
    <s v="Spot"/>
    <s v="3623386-1458729462-119"/>
    <n v="0"/>
    <d v="2016-03-31T00:00:00"/>
    <x v="2229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386-1458729462-119] [23/03/2016 at 10:37:00]"/>
  </r>
  <r>
    <s v="3623365-1458729441-224"/>
    <s v="Spot"/>
    <s v="3623365-1458729441-224"/>
    <n v="0"/>
    <d v="2016-03-31T00:00:00"/>
    <x v="2230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3365-1458729441-224] [23/03/2016 at 10:37:00]"/>
  </r>
  <r>
    <s v="3623359-1458729437-216"/>
    <s v="Spot"/>
    <s v="3623359-1458729437-216"/>
    <n v="0"/>
    <d v="2016-03-31T00:00:00"/>
    <x v="2231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3359-1458729437-216] [23/03/2016 at 10:37:00]"/>
  </r>
  <r>
    <s v="3623383-1458729453-101"/>
    <s v="Spot"/>
    <s v="3623383-1458729453-101"/>
    <n v="0"/>
    <d v="2016-03-31T00:00:00"/>
    <x v="2232"/>
    <s v="101"/>
    <s v="SELL"/>
    <n v="3.3978590544157004"/>
    <x v="0"/>
    <x v="0"/>
    <n v="38.090000000000003"/>
    <s v="Deal"/>
    <m/>
    <s v="Original Amount [EUR 11.21], Merchant Amount [EUR 11.21], Customer Amount [TRY 38.09], Status [APPROVED], Operation [3DAUTH], UUID [3623383-1458729453-101] [23/03/2016 at 10:37:00]"/>
  </r>
  <r>
    <s v="3623452-1458729556-216"/>
    <s v="Spot"/>
    <s v="3623452-1458729556-216"/>
    <n v="0"/>
    <d v="2016-03-31T00:00:00"/>
    <x v="2233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3452-1458729556-216] [23/03/2016 at 10:39:00]"/>
  </r>
  <r>
    <s v="3623344-1458729413-224"/>
    <s v="Spot"/>
    <s v="3623344-1458729413-224"/>
    <n v="0"/>
    <d v="2016-03-31T00:00:00"/>
    <x v="2234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3344-1458729413-224] [23/03/2016 at 10:36:00]"/>
  </r>
  <r>
    <s v="3623335-1458729363-187"/>
    <s v="Spot"/>
    <s v="3623335-1458729363-187"/>
    <n v="0"/>
    <d v="2016-03-31T00:00:00"/>
    <x v="2235"/>
    <s v="187"/>
    <s v="SELL"/>
    <n v="9.9413988657844996"/>
    <x v="0"/>
    <x v="1"/>
    <n v="105.18"/>
    <s v="Deal"/>
    <m/>
    <s v="Original Amount [EUR 10.58], Merchant Amount [EUR 10.58], Customer Amount [NOK 105.18], Status [APPROVED], Operation [DIRECT], UUID [3623335-1458729363-187] [23/03/2016 at 10:36:00]"/>
  </r>
  <r>
    <s v="3623332-1458729362-200"/>
    <s v="Spot"/>
    <s v="3623332-1458729362-200"/>
    <n v="0"/>
    <d v="2016-03-31T00:00:00"/>
    <x v="2236"/>
    <s v="200"/>
    <s v="SELL"/>
    <n v="9.9410562429285729"/>
    <x v="0"/>
    <x v="1"/>
    <n v="2723.75"/>
    <s v="Deal"/>
    <m/>
    <s v="Original Amount [EUR 273.99], Merchant Amount [EUR 273.99], Customer Amount [NOK 2723.75], Status [APPROVED], Operation [STORED], UUID [3623332-1458729362-200] [23/03/2016 at 10:36:00]"/>
  </r>
  <r>
    <s v="3623329-1458729357-224"/>
    <s v="Spot"/>
    <s v="3623329-1458729357-224"/>
    <n v="0"/>
    <d v="2016-03-31T00:00:00"/>
    <x v="2237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3329-1458729357-224] [23/03/2016 at 10:35:00]"/>
  </r>
  <r>
    <s v="3623317-1458729336-134"/>
    <s v="Spot"/>
    <s v="3623317-1458729336-134"/>
    <n v="0"/>
    <d v="2016-03-31T00:00:00"/>
    <x v="2238"/>
    <s v="134"/>
    <s v="SELL"/>
    <n v="132.99396551724138"/>
    <x v="0"/>
    <x v="3"/>
    <n v="1542.73"/>
    <s v="Deal"/>
    <m/>
    <s v="Original Amount [EUR 11.6], Merchant Amount [EUR 11.6], Customer Amount [JPY 1542.73], Status [APPROVED], Operation [DIRECT], UUID [3623317-1458729336-134] [23/03/2016 at 10:35:00]"/>
  </r>
  <r>
    <s v="3623314-1458729335-216"/>
    <s v="Spot"/>
    <s v="3623314-1458729335-216"/>
    <n v="0"/>
    <d v="2016-03-31T00:00:00"/>
    <x v="2239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3314-1458729335-216] [23/03/2016 at 10:35:00]"/>
  </r>
  <r>
    <s v="3623320-1458729339-216"/>
    <s v="Spot"/>
    <s v="3623320-1458729339-216"/>
    <n v="0"/>
    <d v="2016-03-31T00:00:00"/>
    <x v="2240"/>
    <s v="216"/>
    <s v="SELL"/>
    <n v="3.3973357831878732"/>
    <x v="0"/>
    <x v="0"/>
    <n v="73.959999999999994"/>
    <s v="Deal"/>
    <m/>
    <s v="Original Amount [EUR 21.77], Merchant Amount [EUR 21.77], Customer Amount [TRY 73.96], Status [APPROVED], Operation [3DAUTH], UUID [3623320-1458729339-216] [23/03/2016 at 10:35:00]"/>
  </r>
  <r>
    <s v="3623293-1458729292-241"/>
    <s v="Spot"/>
    <s v="3623293-1458729292-241"/>
    <n v="0"/>
    <d v="2016-03-31T00:00:00"/>
    <x v="2241"/>
    <s v="241"/>
    <s v="SELL"/>
    <n v="9.9412353088272063"/>
    <x v="0"/>
    <x v="1"/>
    <n v="397.55"/>
    <s v="Deal"/>
    <m/>
    <s v="Original Amount [EUR 39.99], Merchant Amount [EUR 39.99], Customer Amount [NOK 397.55], Status [APPROVED], Operation [DIRECT], UUID [3623293-1458729292-241] [23/03/2016 at 10:34:00]"/>
  </r>
  <r>
    <s v="3623290-1458729286-199"/>
    <s v="Spot"/>
    <s v="3623290-1458729286-199"/>
    <n v="0"/>
    <d v="2016-03-31T00:00:00"/>
    <x v="2242"/>
    <s v="199"/>
    <s v="SELL"/>
    <n v="9.9410836401893725"/>
    <x v="0"/>
    <x v="1"/>
    <n v="377.96"/>
    <s v="Deal"/>
    <m/>
    <s v="Original Amount [EUR 38.02], Merchant Amount [EUR 38.02], Customer Amount [NOK 377.96], Status [APPROVED], Operation [DIRECT], UUID [3623290-1458729286-199] [23/03/2016 at 10:34:00]"/>
  </r>
  <r>
    <s v="3623284-1458729283-119"/>
    <s v="Spot"/>
    <s v="3623284-1458729283-119"/>
    <n v="0"/>
    <d v="2016-03-31T00:00:00"/>
    <x v="2243"/>
    <s v="119"/>
    <s v="SELL"/>
    <n v="9.9411000000000005"/>
    <x v="0"/>
    <x v="1"/>
    <n v="1988.22"/>
    <s v="Deal"/>
    <m/>
    <s v="Original Amount [EUR 200], Merchant Amount [EUR 200], Customer Amount [NOK 1988.22], Status [APPROVED], Operation [DIRECT], UUID [3623284-1458729283-119] [23/03/2016 at 10:34:00]"/>
  </r>
  <r>
    <s v="3623272-1458729266-224"/>
    <s v="Spot"/>
    <s v="3623272-1458729266-224"/>
    <n v="0"/>
    <d v="2016-03-31T00:00:00"/>
    <x v="2244"/>
    <s v="224"/>
    <s v="SELL"/>
    <n v="132.99333670715251"/>
    <x v="0"/>
    <x v="3"/>
    <n v="15767.69"/>
    <s v="Deal"/>
    <m/>
    <s v="Original Amount [EUR 118.56], Merchant Amount [EUR 118.56], Customer Amount [JPY 15767.69], Status [APPROVED], Operation [DIRECT], UUID [3623272-1458729266-224] [23/03/2016 at 10:34:00]"/>
  </r>
  <r>
    <s v="3623269-1458729264-126"/>
    <s v="Spot"/>
    <s v="3623269-1458729264-126"/>
    <n v="0"/>
    <d v="2016-03-31T00:00:00"/>
    <x v="2245"/>
    <s v="126"/>
    <s v="SELL"/>
    <n v="9.9410731707317073"/>
    <x v="0"/>
    <x v="1"/>
    <n v="1018.96"/>
    <s v="Deal"/>
    <m/>
    <s v="Original Amount [EUR 102.5], Merchant Amount [EUR 102.5], Customer Amount [NOK 1018.96], Status [APPROVED], Operation [DIRECT], UUID [3623269-1458729264-126] [23/03/2016 at 10:34:00]"/>
  </r>
  <r>
    <s v="3623266-1458729263-154"/>
    <s v="Spot"/>
    <s v="3623266-1458729263-154"/>
    <n v="0"/>
    <d v="2016-03-31T00:00:00"/>
    <x v="2246"/>
    <s v="154"/>
    <s v="SELL"/>
    <n v="9.9415000000000013"/>
    <x v="0"/>
    <x v="1"/>
    <n v="198.83"/>
    <s v="Deal"/>
    <m/>
    <s v="Original Amount [EUR 20], Merchant Amount [EUR 20], Customer Amount [NOK 198.83], Status [WAITING], Operation [3D], UUID [3623266-1458729263-154] [23/03/2016 at 10:34:00]"/>
  </r>
  <r>
    <s v="3623251-1458729246-187"/>
    <s v="Spot"/>
    <s v="3623251-1458729246-187"/>
    <n v="0"/>
    <d v="2016-03-31T00:00:00"/>
    <x v="2247"/>
    <s v="187"/>
    <s v="SELL"/>
    <n v="9.9411987143127245"/>
    <x v="0"/>
    <x v="1"/>
    <n v="525.79"/>
    <s v="Deal"/>
    <m/>
    <s v="Original Amount [EUR 52.89], Merchant Amount [EUR 52.89], Customer Amount [NOK 525.79], Status [APPROVED], Operation [DIRECT], UUID [3623251-1458729246-187] [23/03/2016 at 10:34:00]"/>
  </r>
  <r>
    <s v="3623248-1458729242-134"/>
    <s v="Spot"/>
    <s v="3623248-1458729242-134"/>
    <n v="0"/>
    <d v="2016-03-31T00:00:00"/>
    <x v="2248"/>
    <s v="134"/>
    <s v="SELL"/>
    <n v="132.99331778634854"/>
    <x v="0"/>
    <x v="3"/>
    <n v="59309.7"/>
    <s v="Deal"/>
    <m/>
    <s v="Original Amount [EUR 445.96], Merchant Amount [EUR 445.96], Customer Amount [JPY 59309.7], Status [APPROVED], Operation [STORED], UUID [3623248-1458729242-134] [23/03/2016 at 10:34:00]"/>
  </r>
  <r>
    <s v="3623245-1458729241-171"/>
    <s v="Spot"/>
    <s v="3623245-1458729241-171"/>
    <n v="0"/>
    <d v="2016-03-31T00:00:00"/>
    <x v="2249"/>
    <s v="171"/>
    <s v="SELL"/>
    <n v="9.9410833333333333"/>
    <x v="0"/>
    <x v="1"/>
    <n v="1192.93"/>
    <s v="Deal"/>
    <m/>
    <s v="Original Amount [EUR 120], Merchant Amount [EUR 120], Customer Amount [NOK 1192.93], Status [APPROVED], Operation [DIRECT], UUID [3623245-1458729241-171] [23/03/2016 at 10:34:00]"/>
  </r>
  <r>
    <s v="3623239-1458729221-101"/>
    <s v="Spot"/>
    <s v="3623239-1458729221-101"/>
    <n v="0"/>
    <d v="2016-03-31T00:00:00"/>
    <x v="2250"/>
    <s v="101"/>
    <s v="SELL"/>
    <n v="3.3975"/>
    <x v="0"/>
    <x v="0"/>
    <n v="27.18"/>
    <s v="Deal"/>
    <m/>
    <s v="Original Amount [EUR 8], Merchant Amount [EUR 8], Customer Amount [TRY 27.18], Status [WAITING], Operation [3D], UUID [3623239-1458729221-101] [23/03/2016 at 10:33:00]"/>
  </r>
  <r>
    <s v="3623308-1458729313-56"/>
    <s v="Spot"/>
    <s v="3623308-1458729313-56"/>
    <n v="0"/>
    <d v="2016-03-31T00:00:00"/>
    <x v="2251"/>
    <s v="56"/>
    <s v="SELL"/>
    <n v="3.3977055449330789"/>
    <x v="0"/>
    <x v="0"/>
    <n v="53.31"/>
    <s v="Deal"/>
    <m/>
    <s v="Original Amount [EUR 15.69], Merchant Amount [EUR 15.69], Customer Amount [TRY 53.31], Status [APPROVED], Operation [3DAUTH], UUID [3623308-1458729313-56] [23/03/2016 at 10:35:00]"/>
  </r>
  <r>
    <s v="3623233-1458729216-126"/>
    <s v="Spot"/>
    <s v="3623233-1458729216-126"/>
    <n v="0"/>
    <d v="2016-03-31T00:00:00"/>
    <x v="2252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3233-1458729216-126] [23/03/2016 at 10:33:00]"/>
  </r>
  <r>
    <s v="3623242-1458729232-124"/>
    <s v="Spot"/>
    <s v="3623242-1458729232-124"/>
    <n v="0"/>
    <d v="2016-03-31T00:00:00"/>
    <x v="2253"/>
    <s v="124"/>
    <s v="SELL"/>
    <n v="9.9411086474501094"/>
    <x v="0"/>
    <x v="1"/>
    <n v="1120.8599999999999"/>
    <s v="Deal"/>
    <m/>
    <s v="Original Amount [EUR 112.75], Merchant Amount [EUR 112.75], Customer Amount [NOK 1120.86], Status [APPROVED], Operation [3DAUTH], UUID [3623242-1458729232-124] [23/03/2016 at 10:33:00]"/>
  </r>
  <r>
    <s v="3623221-1458729203-224"/>
    <s v="Spot"/>
    <s v="3623221-1458729203-224"/>
    <n v="0"/>
    <d v="2016-03-31T00:00:00"/>
    <x v="2254"/>
    <s v="224"/>
    <s v="SELL"/>
    <n v="132.99342105263159"/>
    <x v="0"/>
    <x v="3"/>
    <n v="1212.9000000000001"/>
    <s v="Deal"/>
    <m/>
    <s v="Original Amount [EUR 9.12], Merchant Amount [EUR 9.12], Customer Amount [JPY 1212.9], Status [APPROVED], Operation [DIRECT], UUID [3623221-1458729203-224] [23/03/2016 at 10:33:00]"/>
  </r>
  <r>
    <s v="3623227-1458729206-107"/>
    <s v="Spot"/>
    <s v="3623227-1458729206-107"/>
    <n v="0"/>
    <d v="2016-03-31T00:00:00"/>
    <x v="2255"/>
    <s v="107"/>
    <s v="SELL"/>
    <n v="3.3979999999999997"/>
    <x v="0"/>
    <x v="0"/>
    <n v="33.979999999999997"/>
    <s v="Deal"/>
    <m/>
    <s v="Original Amount [EUR 10], Merchant Amount [EUR 10], Customer Amount [TRY 33.98], Status [APPROVED], Operation [3DAUTH], UUID [3623227-1458729206-107] [23/03/2016 at 10:33:00]"/>
  </r>
  <r>
    <s v="3623206-1458729178-119"/>
    <s v="Spot"/>
    <s v="3623206-1458729178-119"/>
    <n v="0"/>
    <d v="2016-03-31T00:00:00"/>
    <x v="22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3206-1458729178-119] [23/03/2016 at 10:32:00]"/>
  </r>
  <r>
    <s v="3623200-1458729173-101"/>
    <s v="Spot"/>
    <s v="3623200-1458729173-101"/>
    <n v="0"/>
    <d v="2016-03-31T00:00:00"/>
    <x v="2257"/>
    <s v="101"/>
    <s v="SELL"/>
    <n v="3.3966271080574639"/>
    <x v="0"/>
    <x v="0"/>
    <n v="54.38"/>
    <s v="Deal"/>
    <m/>
    <s v="Original Amount [EUR 16.01], Merchant Amount [EUR 16.01], Customer Amount [TRY 54.38], Status [APPROVED], Operation [3DAUTH], UUID [3623200-1458729173-101] [23/03/2016 at 10:32:00]"/>
  </r>
  <r>
    <s v="3623173-1458729126-101"/>
    <s v="Spot"/>
    <s v="3623173-1458729126-101"/>
    <n v="0"/>
    <d v="2016-03-31T00:00:00"/>
    <x v="2258"/>
    <s v="101"/>
    <s v="SELL"/>
    <n v="3.3975"/>
    <x v="0"/>
    <x v="0"/>
    <n v="27.18"/>
    <s v="Deal"/>
    <m/>
    <s v="Original Amount [EUR 8], Merchant Amount [EUR 8], Customer Amount [TRY 27.18], Status [WAITING], Operation [3D], UUID [3623173-1458729126-101] [23/03/2016 at 10:32:00]"/>
  </r>
  <r>
    <s v="3623170-1458729121-161"/>
    <s v="Spot"/>
    <s v="3623170-1458729121-161"/>
    <n v="0"/>
    <d v="2016-03-31T00:00:00"/>
    <x v="2259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70-1458729121-161] [23/03/2016 at 10:32:00]"/>
  </r>
  <r>
    <s v="3623143-1458729091-161"/>
    <s v="Spot"/>
    <s v="3623143-1458729091-161"/>
    <n v="0"/>
    <d v="2016-03-31T00:00:00"/>
    <x v="2260"/>
    <s v="161"/>
    <s v="SELL"/>
    <n v="1.5559112737251317"/>
    <x v="0"/>
    <x v="5"/>
    <n v="68.040000000000006"/>
    <s v="Deal"/>
    <m/>
    <s v="Original Amount [EUR 43.73], Merchant Amount [EUR 43.73], Customer Amount [AUD 68.04], Status [APPROVED], Operation [STORED], UUID [3623143-1458729091-161] [23/03/2016 at 10:31:00]"/>
  </r>
  <r>
    <s v="3623134-1458729082-199"/>
    <s v="Spot"/>
    <s v="3623134-1458729082-199"/>
    <n v="0"/>
    <d v="2016-03-31T00:00:00"/>
    <x v="2261"/>
    <s v="199"/>
    <s v="SELL"/>
    <n v="9.9506013745704465"/>
    <x v="0"/>
    <x v="1"/>
    <n v="1621.55"/>
    <s v="Deal"/>
    <m/>
    <s v="Original Amount [EUR 162.96], Merchant Amount [EUR 162.96], Customer Amount [NOK 1621.55], Status [APPROVED], Operation [DIRECT], UUID [3623134-1458729082-199] [23/03/2016 at 10:31:00]"/>
  </r>
  <r>
    <s v="3623131-1458729080-101"/>
    <s v="Spot"/>
    <s v="3623131-1458729080-101"/>
    <n v="0"/>
    <d v="2016-03-31T00:00:00"/>
    <x v="2262"/>
    <s v="101"/>
    <s v="SELL"/>
    <n v="3.3966271080574639"/>
    <x v="0"/>
    <x v="0"/>
    <n v="54.38"/>
    <s v="Deal"/>
    <m/>
    <s v="Original Amount [EUR 16.01], Merchant Amount [EUR 16.01], Customer Amount [TRY 54.38], Status [WAITING], Operation [3D], UUID [3623131-1458729080-101] [23/03/2016 at 10:31:00]"/>
  </r>
  <r>
    <s v="3623164-1458729117-203"/>
    <s v="Spot"/>
    <s v="3623164-1458729117-203"/>
    <n v="0"/>
    <d v="2016-03-31T00:00:00"/>
    <x v="2263"/>
    <s v="203"/>
    <s v="SELL"/>
    <n v="3.3965804613151245"/>
    <x v="0"/>
    <x v="0"/>
    <n v="631.73"/>
    <s v="Deal"/>
    <m/>
    <s v="Original Amount [EUR 185.99], Merchant Amount [EUR 185.99], Customer Amount [TRY 631.73], Status [APPROVED], Operation [3DAUTH], UUID [3623164-1458729117-203] [23/03/2016 at 10:31:00]"/>
  </r>
  <r>
    <s v="3623119-1458729071-101"/>
    <s v="Spot"/>
    <s v="3623119-1458729071-101"/>
    <n v="0"/>
    <d v="2016-03-31T00:00:00"/>
    <x v="2264"/>
    <s v="101"/>
    <s v="SELL"/>
    <n v="3.3975"/>
    <x v="0"/>
    <x v="0"/>
    <n v="27.18"/>
    <s v="Deal"/>
    <m/>
    <s v="Original Amount [EUR 8], Merchant Amount [EUR 8], Customer Amount [TRY 27.18], Status [WAITING], Operation [3D], UUID [3623119-1458729071-101] [23/03/2016 at 10:31:00]"/>
  </r>
  <r>
    <s v="3623107-1458729061-236"/>
    <s v="Spot"/>
    <s v="3623107-1458729061-236"/>
    <n v="0"/>
    <d v="2016-03-31T00:00:00"/>
    <x v="2265"/>
    <s v="236"/>
    <s v="BUY"/>
    <n v="0.81600000000000006"/>
    <x v="0"/>
    <x v="4"/>
    <n v="1.02"/>
    <s v="Deal"/>
    <m/>
    <s v="Original Amount [EUR 1.25], Merchant Amount [EUR 1.25], Customer Amount [GBP 1.02], Status [APPROVED], Operation [REFUND], UUID [3623107-1458729061-236] [23/03/2016 at 10:31:00]"/>
  </r>
  <r>
    <s v="3623098-1458729053-126"/>
    <s v="Spot"/>
    <s v="3623098-1458729053-126"/>
    <n v="0"/>
    <d v="2016-03-31T00:00:00"/>
    <x v="2266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3098-1458729053-126] [23/03/2016 at 10:30:00]"/>
  </r>
  <r>
    <s v="3623095-1458729052-161"/>
    <s v="Spot"/>
    <s v="3623095-1458729052-161"/>
    <n v="0"/>
    <d v="2016-03-31T00:00:00"/>
    <x v="2267"/>
    <s v="161"/>
    <s v="SELL"/>
    <n v="1.5559112737251317"/>
    <x v="0"/>
    <x v="5"/>
    <n v="136.08000000000001"/>
    <s v="Deal"/>
    <m/>
    <s v="Original Amount [EUR 87.46], Merchant Amount [EUR 87.46], Customer Amount [AUD 136.08], Status [APPROVED], Operation [STORED], UUID [3623095-1458729052-161] [23/03/2016 at 10:30:00]"/>
  </r>
  <r>
    <s v="3623086-1458729046-236"/>
    <s v="Spot"/>
    <s v="3623086-1458729046-236"/>
    <n v="0"/>
    <d v="2016-03-31T00:00:00"/>
    <x v="2268"/>
    <s v="236"/>
    <s v="BUY"/>
    <n v="0.83183413777972792"/>
    <x v="0"/>
    <x v="4"/>
    <n v="75.83"/>
    <s v="Deal"/>
    <m/>
    <s v="Original Amount [EUR 91.16], Merchant Amount [EUR 91.16], Customer Amount [GBP 75.83], Status [APPROVED], Operation [REFUND], UUID [3623086-1458729046-236] [23/03/2016 at 10:30:00]"/>
  </r>
  <r>
    <s v="3623077-1458729032-161"/>
    <s v="Spot"/>
    <s v="3623077-1458729032-161"/>
    <n v="0"/>
    <d v="2016-03-31T00:00:00"/>
    <x v="2269"/>
    <s v="161"/>
    <s v="SELL"/>
    <n v="1.5560128029263831"/>
    <x v="0"/>
    <x v="5"/>
    <n v="34.03"/>
    <s v="Deal"/>
    <m/>
    <s v="Original Amount [EUR 21.87], Merchant Amount [EUR 21.87], Customer Amount [AUD 34.03], Status [APPROVED], Operation [STORED], UUID [3623077-1458729032-161] [23/03/2016 at 10:30:00]"/>
  </r>
  <r>
    <s v="3623071-1458729027-56"/>
    <s v="Spot"/>
    <s v="3623071-1458729027-56"/>
    <n v="0"/>
    <d v="2016-03-31T00:00:00"/>
    <x v="2270"/>
    <s v="56"/>
    <s v="BUY"/>
    <n v="3.4097744360902253"/>
    <x v="0"/>
    <x v="0"/>
    <n v="27.21"/>
    <s v="Deal"/>
    <m/>
    <s v="Original Amount [EUR 7.98], Merchant Amount [EUR 7.98], Customer Amount [TRY 27.21], Status [APPROVED], Operation [REFUND], UUID [3623071-1458729027-56] [23/03/2016 at 10:30:00]"/>
  </r>
  <r>
    <s v="3623053-1458729015-187"/>
    <s v="Spot"/>
    <s v="3623053-1458729015-187"/>
    <n v="0"/>
    <d v="2016-03-31T00:00:00"/>
    <x v="2271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3053-1458729015-187] [23/03/2016 at 10:30:00]"/>
  </r>
  <r>
    <s v="3623038-1458729001-224"/>
    <s v="Spot"/>
    <s v="3623038-1458729001-224"/>
    <n v="0"/>
    <d v="2016-03-31T00:00:00"/>
    <x v="2272"/>
    <s v="224"/>
    <s v="SELL"/>
    <n v="132.88304093567251"/>
    <x v="0"/>
    <x v="3"/>
    <n v="3635.68"/>
    <s v="Deal"/>
    <m/>
    <s v="Original Amount [EUR 27.36], Merchant Amount [EUR 27.36], Customer Amount [JPY 3635.68], Status [APPROVED], Operation [DIRECT], UUID [3623038-1458729001-224] [23/03/2016 at 10:30:00]"/>
  </r>
  <r>
    <s v="3623065-1458729024-145"/>
    <s v="Spot"/>
    <s v="3623065-1458729024-145"/>
    <n v="0"/>
    <d v="2016-03-31T00:00:00"/>
    <x v="2273"/>
    <s v="145"/>
    <s v="SELL"/>
    <n v="1.5462111000410244"/>
    <x v="0"/>
    <x v="2"/>
    <n v="263.83"/>
    <s v="Deal"/>
    <m/>
    <s v="Original Amount [EUR 170.63], Merchant Amount [EUR 170.63], Customer Amount [CAD 263.83], Status [APPROVED], Operation [3DAUTH], UUID [3623065-1458729024-145] [23/03/2016 at 10:30:00]"/>
  </r>
  <r>
    <s v="3623101-1458729056-216"/>
    <s v="Spot"/>
    <s v="3623101-1458729056-216"/>
    <n v="0"/>
    <d v="2016-03-31T00:00:00"/>
    <x v="2274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101-1458729056-216] [23/03/2016 at 10:30:00]"/>
  </r>
  <r>
    <s v="3623059-1458729018-216"/>
    <s v="Spot"/>
    <s v="3623059-1458729018-216"/>
    <n v="0"/>
    <d v="2016-03-31T00:00:00"/>
    <x v="2275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3059-1458729018-216] [23/03/2016 at 10:30:00]"/>
  </r>
  <r>
    <s v="3623023-1458728980-224"/>
    <s v="Spot"/>
    <s v="3623023-1458728980-224"/>
    <n v="0"/>
    <d v="2016-03-31T00:00:00"/>
    <x v="227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3023-1458728980-224] [23/03/2016 at 10:29:00]"/>
  </r>
  <r>
    <s v="3623020-1458728980-101"/>
    <s v="Spot"/>
    <s v="3623020-1458728980-101"/>
    <n v="0"/>
    <d v="2016-03-31T00:00:00"/>
    <x v="227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3020-1458728980-101] [23/03/2016 at 10:29:00]"/>
  </r>
  <r>
    <s v="3623017-1458728974-56"/>
    <s v="Spot"/>
    <s v="3623017-1458728974-56"/>
    <n v="0"/>
    <d v="2016-03-31T00:00:00"/>
    <x v="2278"/>
    <s v="56"/>
    <s v="SELL"/>
    <n v="3.3975"/>
    <x v="0"/>
    <x v="0"/>
    <n v="27.18"/>
    <s v="Deal"/>
    <m/>
    <s v="Original Amount [EUR 8], Merchant Amount [EUR 8], Customer Amount [TRY 27.18], Status [APPROVED], Operation [3DAUTH], UUID [3623017-1458728974-56] [23/03/2016 at 10:29:00]"/>
  </r>
  <r>
    <s v="3623014-1458728957-107"/>
    <s v="Spot"/>
    <s v="3623014-1458728957-107"/>
    <n v="0"/>
    <d v="2016-03-31T00:00:00"/>
    <x v="2279"/>
    <s v="107"/>
    <s v="SELL"/>
    <n v="3.3972602739726026"/>
    <x v="0"/>
    <x v="0"/>
    <n v="34.72"/>
    <s v="Deal"/>
    <m/>
    <s v="Original Amount [EUR 10.22], Merchant Amount [EUR 10.22], Customer Amount [TRY 34.72], Status [APPROVED], Operation [3DAUTH], UUID [3623014-1458728957-107] [23/03/2016 at 10:29:00]"/>
  </r>
  <r>
    <s v="3622984-1458728911-224"/>
    <s v="Spot"/>
    <s v="3622984-1458728911-224"/>
    <n v="0"/>
    <d v="2016-03-31T00:00:00"/>
    <x v="2280"/>
    <s v="224"/>
    <s v="SELL"/>
    <n v="132.88277223379757"/>
    <x v="0"/>
    <x v="3"/>
    <n v="12117.58"/>
    <s v="Deal"/>
    <m/>
    <s v="Original Amount [EUR 91.19], Merchant Amount [EUR 91.19], Customer Amount [JPY 12117.58], Status [APPROVED], Operation [DIRECT], UUID [3622984-1458728911-224] [23/03/2016 at 10:28:00]"/>
  </r>
  <r>
    <s v="3622999-1458728939-126"/>
    <s v="Spot"/>
    <s v="3622999-1458728939-126"/>
    <n v="0"/>
    <d v="2016-03-31T00:00:00"/>
    <x v="2281"/>
    <s v="126"/>
    <s v="SELL"/>
    <n v="9.9551219512195122"/>
    <x v="0"/>
    <x v="1"/>
    <n v="102.04"/>
    <s v="Deal"/>
    <m/>
    <s v="Original Amount [EUR 10.25], Merchant Amount [EUR 10.25], Customer Amount [NOK 102.04], Status [APPROVED], Operation [3DAUTH], UUID [3622999-1458728939-126] [23/03/2016 at 10:28:00]"/>
  </r>
  <r>
    <s v="3622978-1458728902-126"/>
    <s v="Spot"/>
    <s v="3622978-1458728902-126"/>
    <n v="0"/>
    <d v="2016-03-31T00:00:00"/>
    <x v="2282"/>
    <s v="126"/>
    <s v="SELL"/>
    <n v="9.9545853658536583"/>
    <x v="0"/>
    <x v="1"/>
    <n v="2040.69"/>
    <s v="Deal"/>
    <m/>
    <s v="Original Amount [EUR 205], Merchant Amount [EUR 205], Customer Amount [NOK 2040.69], Status [APPROVED], Operation [DIRECT], UUID [3622978-1458728902-126] [23/03/2016 at 10:28:00]"/>
  </r>
  <r>
    <s v="3622969-1458728895-187"/>
    <s v="Spot"/>
    <s v="3622969-1458728895-187"/>
    <n v="0"/>
    <d v="2016-03-31T00:00:00"/>
    <x v="2283"/>
    <s v="187"/>
    <s v="SELL"/>
    <n v="9.9545686574783065"/>
    <x v="0"/>
    <x v="1"/>
    <n v="5265.27"/>
    <s v="Deal"/>
    <m/>
    <s v="Original Amount [EUR 528.93], Merchant Amount [EUR 528.93], Customer Amount [NOK 5265.27], Status [APPROVED], Operation [DIRECT], UUID [3622969-1458728895-187] [23/03/2016 at 10:28:00]"/>
  </r>
  <r>
    <s v="3622990-1458728927-162"/>
    <s v="Spot"/>
    <s v="3622990-1458728927-162"/>
    <n v="0"/>
    <d v="2016-03-31T00:00:00"/>
    <x v="2284"/>
    <s v="162"/>
    <s v="SELL"/>
    <n v="3.3974193548387093"/>
    <x v="0"/>
    <x v="0"/>
    <n v="105.32"/>
    <s v="Deal"/>
    <m/>
    <s v="Original Amount [EUR 31], Merchant Amount [EUR 31], Customer Amount [TRY 105.32], Status [APPROVED], Operation [3DAUTH], UUID [3622990-1458728927-162] [23/03/2016 at 10:28:00]"/>
  </r>
  <r>
    <s v="3622960-1458728876-224"/>
    <s v="Spot"/>
    <s v="3622960-1458728876-224"/>
    <n v="0"/>
    <d v="2016-03-31T00:00:00"/>
    <x v="2285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2960-1458728876-224] [23/03/2016 at 10:27:00]"/>
  </r>
  <r>
    <s v="3622972-1458728898-107"/>
    <s v="Spot"/>
    <s v="3622972-1458728898-107"/>
    <n v="0"/>
    <d v="2016-03-31T00:00:00"/>
    <x v="2286"/>
    <s v="107"/>
    <s v="SELL"/>
    <n v="3.397353131052292"/>
    <x v="0"/>
    <x v="0"/>
    <n v="210.5"/>
    <s v="Deal"/>
    <m/>
    <s v="Original Amount [EUR 61.96], Merchant Amount [EUR 61.96], Customer Amount [TRY 210.5], Status [APPROVED], Operation [3DAUTH], UUID [3622972-1458728898-107] [23/03/2016 at 10:28:00]"/>
  </r>
  <r>
    <s v="3622948-1458728864-101"/>
    <s v="Spot"/>
    <s v="3622948-1458728864-101"/>
    <n v="0"/>
    <d v="2016-03-31T00:00:00"/>
    <x v="2287"/>
    <s v="101"/>
    <s v="SELL"/>
    <n v="3.3972517176764518"/>
    <x v="0"/>
    <x v="0"/>
    <n v="54.39"/>
    <s v="Deal"/>
    <m/>
    <s v="Original Amount [EUR 16.01], Merchant Amount [EUR 16.01], Customer Amount [TRY 54.39], Status [WAITING], Operation [3D], UUID [3622948-1458728864-101] [23/03/2016 at 10:27:00]"/>
  </r>
  <r>
    <s v="3622945-1458728864-200"/>
    <s v="Spot"/>
    <s v="3622945-1458728864-200"/>
    <n v="0"/>
    <d v="2016-03-31T00:00:00"/>
    <x v="2288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22945-1458728864-200] [23/03/2016 at 10:27:00]"/>
  </r>
  <r>
    <s v="3622933-1458728821-119"/>
    <s v="Spot"/>
    <s v="3622933-1458728821-119"/>
    <n v="0"/>
    <d v="2016-03-31T00:00:00"/>
    <x v="2289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2933-1458728821-119] [23/03/2016 at 10:27:00]"/>
  </r>
  <r>
    <s v="3622927-1458728815-119"/>
    <s v="Spot"/>
    <s v="3622927-1458728815-119"/>
    <n v="0"/>
    <d v="2016-03-31T00:00:00"/>
    <x v="2290"/>
    <s v="119"/>
    <s v="SELL"/>
    <n v="9.9418000000000006"/>
    <x v="0"/>
    <x v="1"/>
    <n v="2982.54"/>
    <s v="Deal"/>
    <m/>
    <s v="Original Amount [EUR 300], Merchant Amount [EUR 300], Customer Amount [NOK 2982.54], Status [APPROVED], Operation [DIRECT], UUID [3622927-1458728815-119] [23/03/2016 at 10:26:00]"/>
  </r>
  <r>
    <s v="3622942-1458728856-126"/>
    <s v="Spot"/>
    <s v="3622942-1458728856-126"/>
    <n v="0"/>
    <d v="2016-03-31T00:00:00"/>
    <x v="2291"/>
    <s v="126"/>
    <s v="SELL"/>
    <n v="9.9418536585365853"/>
    <x v="0"/>
    <x v="1"/>
    <n v="509.52"/>
    <s v="Deal"/>
    <m/>
    <s v="Original Amount [EUR 51.25], Merchant Amount [EUR 51.25], Customer Amount [NOK 509.52], Status [APPROVED], Operation [3DAUTH], UUID [3622942-1458728856-126] [23/03/2016 at 10:27:00]"/>
  </r>
  <r>
    <s v="3622915-1458728787-238"/>
    <s v="Spot"/>
    <s v="3622915-1458728787-238"/>
    <n v="0"/>
    <d v="2016-03-31T00:00:00"/>
    <x v="2292"/>
    <s v="238"/>
    <s v="SELL"/>
    <n v="9.9433962264150928"/>
    <x v="0"/>
    <x v="1"/>
    <n v="21.08"/>
    <s v="Deal"/>
    <m/>
    <s v="Original Amount [EUR 2.12], Merchant Amount [EUR 2.12], Customer Amount [NOK 21.08], Status [APPROVED], Operation [DIRECT], UUID [3622915-1458728787-238] [23/03/2016 at 10:26:00]"/>
  </r>
  <r>
    <s v="3622900-1458728773-261"/>
    <s v="Spot"/>
    <s v="3622900-1458728773-261"/>
    <n v="0"/>
    <d v="2016-03-31T00:00:00"/>
    <x v="2293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22900-1458728773-261] [23/03/2016 at 10:26:00]"/>
  </r>
  <r>
    <s v="3622894-1458728771-238"/>
    <s v="Spot"/>
    <s v="3622894-1458728771-238"/>
    <n v="0"/>
    <d v="2016-03-31T00:00:00"/>
    <x v="2294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94-1458728771-238] [23/03/2016 at 10:26:00]"/>
  </r>
  <r>
    <s v="3622912-1458728787-102"/>
    <s v="Spot"/>
    <s v="3622912-1458728787-102"/>
    <n v="0"/>
    <d v="2016-03-31T00:00:00"/>
    <x v="2295"/>
    <s v="102"/>
    <s v="SELL"/>
    <n v="3.3970357454228419"/>
    <x v="0"/>
    <x v="0"/>
    <n v="194.82"/>
    <s v="Deal"/>
    <m/>
    <s v="Original Amount [EUR 57.35], Merchant Amount [EUR 57.35], Customer Amount [TRY 194.82], Status [APPROVED], Operation [3DAUTH], UUID [3622912-1458728787-102] [23/03/2016 at 10:26:00]"/>
  </r>
  <r>
    <s v="3622909-1458728780-124"/>
    <s v="Spot"/>
    <s v="3622909-1458728780-124"/>
    <n v="0"/>
    <d v="2016-03-31T00:00:00"/>
    <x v="2296"/>
    <s v="124"/>
    <s v="SELL"/>
    <n v="9.9419512195121946"/>
    <x v="0"/>
    <x v="1"/>
    <n v="407.62"/>
    <s v="Deal"/>
    <m/>
    <s v="Original Amount [EUR 41], Merchant Amount [EUR 41], Customer Amount [NOK 407.62], Status [APPROVED], Operation [3DAUTH], UUID [3622909-1458728780-124] [23/03/2016 at 10:26:00]"/>
  </r>
  <r>
    <s v="3622873-1458728733-216"/>
    <s v="Spot"/>
    <s v="3622873-1458728733-216"/>
    <n v="0"/>
    <d v="2016-03-31T00:00:00"/>
    <x v="2297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2873-1458728733-216] [23/03/2016 at 10:25:00]"/>
  </r>
  <r>
    <s v="3622861-1458728709-187"/>
    <s v="Spot"/>
    <s v="3622861-1458728709-187"/>
    <n v="0"/>
    <d v="2016-03-31T00:00:00"/>
    <x v="2298"/>
    <s v="187"/>
    <s v="SELL"/>
    <n v="9.9424398625429546"/>
    <x v="0"/>
    <x v="1"/>
    <n v="115.73"/>
    <s v="Deal"/>
    <m/>
    <s v="Original Amount [EUR 11.64], Merchant Amount [EUR 11.64], Customer Amount [NOK 115.73], Status [APPROVED], Operation [DIRECT], UUID [3622861-1458728709-187] [23/03/2016 at 10:25:00]"/>
  </r>
  <r>
    <s v="3622882-1458728754-101"/>
    <s v="Spot"/>
    <s v="3622882-1458728754-101"/>
    <n v="0"/>
    <d v="2016-03-31T00:00:00"/>
    <x v="2299"/>
    <s v="101"/>
    <s v="SELL"/>
    <n v="3.3970190922190198"/>
    <x v="0"/>
    <x v="0"/>
    <n v="754.41"/>
    <s v="Deal"/>
    <m/>
    <s v="Original Amount [EUR 222.08], Merchant Amount [EUR 222.08], Customer Amount [TRY 754.41], Status [APPROVED], Operation [3DAUTH], UUID [3622882-1458728754-101] [23/03/2016 at 10:25:00]"/>
  </r>
  <r>
    <s v="3622876-1458728745-216"/>
    <s v="Spot"/>
    <s v="3622876-1458728745-216"/>
    <n v="0"/>
    <d v="2016-03-31T00:00:00"/>
    <x v="2300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876-1458728745-216] [23/03/2016 at 10:25:00]"/>
  </r>
  <r>
    <s v="3622852-1458728696-126"/>
    <s v="Spot"/>
    <s v="3622852-1458728696-126"/>
    <n v="0"/>
    <d v="2016-03-31T00:00:00"/>
    <x v="2301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852-1458728696-126] [23/03/2016 at 10:24:00]"/>
  </r>
  <r>
    <s v="3622849-1458728694-187"/>
    <s v="Spot"/>
    <s v="3622849-1458728694-187"/>
    <n v="0"/>
    <d v="2016-03-31T00:00:00"/>
    <x v="2302"/>
    <s v="187"/>
    <s v="SELL"/>
    <n v="9.9418070444104156"/>
    <x v="0"/>
    <x v="1"/>
    <n v="5258.52"/>
    <s v="Deal"/>
    <m/>
    <s v="Original Amount [EUR 528.93], Merchant Amount [EUR 528.93], Customer Amount [NOK 5258.52], Status [APPROVED], Operation [DIRECT], UUID [3622849-1458728694-187] [23/03/2016 at 10:24:00]"/>
  </r>
  <r>
    <s v="3622834-1458728679-125"/>
    <s v="Spot"/>
    <s v="3622834-1458728679-125"/>
    <n v="0"/>
    <d v="2016-03-31T00:00:00"/>
    <x v="2303"/>
    <s v="125"/>
    <s v="SELL"/>
    <n v="9.9420000000000002"/>
    <x v="0"/>
    <x v="1"/>
    <n v="149.13"/>
    <s v="Deal"/>
    <m/>
    <s v="Original Amount [EUR 15], Merchant Amount [EUR 15], Customer Amount [NOK 149.13], Status [APPROVED], Operation [DIRECT], UUID [3622834-1458728679-125] [23/03/2016 at 10:24:00]"/>
  </r>
  <r>
    <s v="3622825-1458728668-126"/>
    <s v="Spot"/>
    <s v="3622825-1458728668-126"/>
    <n v="0"/>
    <d v="2016-03-31T00:00:00"/>
    <x v="2304"/>
    <s v="126"/>
    <s v="SELL"/>
    <n v="9.9418536585365853"/>
    <x v="0"/>
    <x v="1"/>
    <n v="509.52"/>
    <s v="Deal"/>
    <m/>
    <s v="Original Amount [EUR 51.25], Merchant Amount [EUR 51.25], Customer Amount [NOK 509.52], Status [APPROVED], Operation [DIRECT], UUID [3622825-1458728668-126] [23/03/2016 at 10:24:00]"/>
  </r>
  <r>
    <s v="3622846-1458728692-56"/>
    <s v="Spot"/>
    <s v="3622846-1458728692-56"/>
    <n v="0"/>
    <d v="2016-03-31T00:00:00"/>
    <x v="2305"/>
    <s v="56"/>
    <s v="SELL"/>
    <n v="3.3975"/>
    <x v="0"/>
    <x v="0"/>
    <n v="27.18"/>
    <s v="Deal"/>
    <m/>
    <s v="Original Amount [EUR 8], Merchant Amount [EUR 8], Customer Amount [TRY 27.18], Status [APPROVED], Operation [3DAUTH], UUID [3622846-1458728692-56] [23/03/2016 at 10:24:00]"/>
  </r>
  <r>
    <s v="3622837-1458728680-107"/>
    <s v="Spot"/>
    <s v="3622837-1458728680-107"/>
    <n v="0"/>
    <d v="2016-03-31T00:00:00"/>
    <x v="2306"/>
    <s v="107"/>
    <s v="SELL"/>
    <n v="3.3970588235294117"/>
    <x v="0"/>
    <x v="0"/>
    <n v="189.42"/>
    <s v="Deal"/>
    <m/>
    <s v="Original Amount [EUR 55.76], Merchant Amount [EUR 55.76], Customer Amount [TRY 189.42], Status [APPROVED], Operation [3DAUTH], UUID [3622837-1458728680-107] [23/03/2016 at 10:24:00]"/>
  </r>
  <r>
    <s v="3622810-1458728645-238"/>
    <s v="Spot"/>
    <s v="3622810-1458728645-238"/>
    <n v="0"/>
    <d v="2016-03-31T00:00:00"/>
    <x v="2307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810-1458728645-238] [23/03/2016 at 10:24:00]"/>
  </r>
  <r>
    <s v="3622801-1458728615-216"/>
    <s v="Spot"/>
    <s v="3622801-1458728615-216"/>
    <n v="0"/>
    <d v="2016-03-31T00:00:00"/>
    <x v="2308"/>
    <s v="216"/>
    <s v="SELL"/>
    <n v="3.3920534910633924"/>
    <x v="0"/>
    <x v="0"/>
    <n v="263.8"/>
    <s v="Deal"/>
    <m/>
    <s v="Original Amount [EUR 77.77], Merchant Amount [EUR 77.77], Customer Amount [TRY 263.8], Status [WAITING], Operation [3D], UUID [3622801-1458728615-216] [23/03/2016 at 10:23:00]"/>
  </r>
  <r>
    <s v="3622831-1458728679-101"/>
    <s v="Spot"/>
    <s v="3622831-1458728679-101"/>
    <n v="0"/>
    <d v="2016-03-31T00:00:00"/>
    <x v="2309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831-1458728679-101] [23/03/2016 at 10:24:00]"/>
  </r>
  <r>
    <s v="3622804-1458728636-56"/>
    <s v="Spot"/>
    <s v="3622804-1458728636-56"/>
    <n v="0"/>
    <d v="2016-03-31T00:00:00"/>
    <x v="2310"/>
    <s v="56"/>
    <s v="SELL"/>
    <n v="3.3923611111111107"/>
    <x v="0"/>
    <x v="0"/>
    <n v="29.31"/>
    <s v="Deal"/>
    <m/>
    <s v="Original Amount [EUR 8.64], Merchant Amount [EUR 8.64], Customer Amount [TRY 29.31], Status [APPROVED], Operation [3DAUTH], UUID [3622804-1458728636-56] [23/03/2016 at 10:23:00]"/>
  </r>
  <r>
    <s v="3622792-1458728610-126"/>
    <s v="Spot"/>
    <s v="3622792-1458728610-126"/>
    <n v="0"/>
    <d v="2016-03-31T00:00:00"/>
    <x v="2311"/>
    <s v="126"/>
    <s v="SELL"/>
    <n v="9.9410731707317073"/>
    <x v="0"/>
    <x v="1"/>
    <n v="509.48"/>
    <s v="Deal"/>
    <m/>
    <s v="Original Amount [EUR 51.25], Merchant Amount [EUR 51.25], Customer Amount [NOK 509.48], Status [APPROVED], Operation [DIRECT], UUID [3622792-1458728610-126] [23/03/2016 at 10:23:00]"/>
  </r>
  <r>
    <s v="3622789-1458728604-199"/>
    <s v="Spot"/>
    <s v="3622789-1458728604-199"/>
    <n v="0"/>
    <d v="2016-03-31T00:00:00"/>
    <x v="2312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2789-1458728604-199] [23/03/2016 at 10:23:00]"/>
  </r>
  <r>
    <s v="3622786-1458728600-200"/>
    <s v="Spot"/>
    <s v="3622786-1458728600-200"/>
    <n v="0"/>
    <d v="2016-03-31T00:00:00"/>
    <x v="2313"/>
    <s v="200"/>
    <s v="SELL"/>
    <n v="9.941058394160585"/>
    <x v="0"/>
    <x v="1"/>
    <n v="544.77"/>
    <s v="Deal"/>
    <m/>
    <s v="Original Amount [EUR 54.8], Merchant Amount [EUR 54.8], Customer Amount [NOK 544.77], Status [APPROVED], Operation [STORED], UUID [3622786-1458728600-200] [23/03/2016 at 10:23:00]"/>
  </r>
  <r>
    <s v="3622783-1458728595-126"/>
    <s v="Spot"/>
    <s v="3622783-1458728595-126"/>
    <n v="0"/>
    <d v="2016-03-31T00:00:00"/>
    <x v="2314"/>
    <s v="126"/>
    <s v="SELL"/>
    <n v="9.9414824447334205"/>
    <x v="0"/>
    <x v="1"/>
    <n v="152.9"/>
    <s v="Deal"/>
    <m/>
    <s v="Original Amount [EUR 15.38], Merchant Amount [EUR 15.38], Customer Amount [NOK 152.9], Status [APPROVED], Operation [DIRECT], UUID [3622783-1458728595-126] [23/03/2016 at 10:23:00]"/>
  </r>
  <r>
    <s v="3622807-1458728638-216"/>
    <s v="Spot"/>
    <s v="3622807-1458728638-216"/>
    <n v="0"/>
    <d v="2016-03-31T00:00:00"/>
    <x v="2315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2807-1458728638-216] [23/03/2016 at 10:23:00]"/>
  </r>
  <r>
    <s v="3622771-1458728557-119"/>
    <s v="Spot"/>
    <s v="3622771-1458728557-119"/>
    <n v="0"/>
    <d v="2016-03-31T00:00:00"/>
    <x v="2316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2771-1458728557-119] [23/03/2016 at 10:22:00]"/>
  </r>
  <r>
    <s v="3622768-1458728545-126"/>
    <s v="Spot"/>
    <s v="3622768-1458728545-126"/>
    <n v="0"/>
    <d v="2016-03-31T00:00:00"/>
    <x v="2317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2768-1458728545-126] [23/03/2016 at 10:22:00]"/>
  </r>
  <r>
    <s v="3622765-1458728540-224"/>
    <s v="Spot"/>
    <s v="3622765-1458728540-224"/>
    <n v="0"/>
    <d v="2016-03-31T00:00:00"/>
    <x v="2318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2765-1458728540-224] [23/03/2016 at 10:22:00]"/>
  </r>
  <r>
    <s v="3622777-1458728559-216"/>
    <s v="Spot"/>
    <s v="3622777-1458728559-216"/>
    <n v="0"/>
    <d v="2016-03-31T00:00:00"/>
    <x v="2319"/>
    <s v="216"/>
    <s v="SELL"/>
    <n v="3.392156862745098"/>
    <x v="0"/>
    <x v="0"/>
    <n v="105.53"/>
    <s v="Deal"/>
    <m/>
    <s v="Original Amount [EUR 31.11], Merchant Amount [EUR 31.11], Customer Amount [TRY 105.53], Status [APPROVED], Operation [3DAUTH], UUID [3622777-1458728559-216] [23/03/2016 at 10:22:00]"/>
  </r>
  <r>
    <s v="3622759-1458728532-126"/>
    <s v="Spot"/>
    <s v="3622759-1458728532-126"/>
    <n v="0"/>
    <d v="2016-03-31T00:00:00"/>
    <x v="2320"/>
    <s v="126"/>
    <s v="SELL"/>
    <n v="9.9410731707317073"/>
    <x v="0"/>
    <x v="1"/>
    <n v="3056.88"/>
    <s v="Deal"/>
    <m/>
    <s v="Original Amount [EUR 307.5], Merchant Amount [EUR 307.5], Customer Amount [NOK 3056.88], Status [APPROVED], Operation [DIRECT], UUID [3622759-1458728532-126] [23/03/2016 at 10:22:00]"/>
  </r>
  <r>
    <s v="3622756-1458728525-224"/>
    <s v="Spot"/>
    <s v="3622756-1458728525-224"/>
    <n v="0"/>
    <d v="2016-03-31T00:00:00"/>
    <x v="2321"/>
    <s v="224"/>
    <s v="SELL"/>
    <n v="9.9411259131929537"/>
    <x v="0"/>
    <x v="1"/>
    <n v="925.32"/>
    <s v="Deal"/>
    <m/>
    <s v="Original Amount [EUR 93.08], Merchant Amount [EUR 93.08], Customer Amount [NOK 925.32], Status [APPROVED], Operation [DIRECT], UUID [3622756-1458728525-224] [23/03/2016 at 10:22:00]"/>
  </r>
  <r>
    <s v="3622750-1458728512-119"/>
    <s v="Spot"/>
    <s v="3622750-1458728512-119"/>
    <n v="0"/>
    <d v="2016-03-31T00:00:00"/>
    <x v="2322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2750-1458728512-119] [23/03/2016 at 10:21:00]"/>
  </r>
  <r>
    <s v="3622747-1458728501-224"/>
    <s v="Spot"/>
    <s v="3622747-1458728501-224"/>
    <n v="0"/>
    <d v="2016-03-31T00:00:00"/>
    <x v="2323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2747-1458728501-224] [23/03/2016 at 10:21:00]"/>
  </r>
  <r>
    <s v="3622738-1458728483-199"/>
    <s v="Spot"/>
    <s v="3622738-1458728483-199"/>
    <n v="0"/>
    <d v="2016-03-31T00:00:00"/>
    <x v="2324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2738-1458728483-199] [23/03/2016 at 10:21:00]"/>
  </r>
  <r>
    <s v="3622735-1458728482-82"/>
    <s v="Spot"/>
    <s v="3622735-1458728482-82"/>
    <n v="0"/>
    <d v="2016-03-31T00:00:00"/>
    <x v="2325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735-1458728482-82] [23/03/2016 at 10:21:00]"/>
  </r>
  <r>
    <s v="3622729-1458728470-200"/>
    <s v="Spot"/>
    <s v="3622729-1458728470-200"/>
    <n v="0"/>
    <d v="2016-03-31T00:00:00"/>
    <x v="2326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2729-1458728470-200] [23/03/2016 at 10:21:00]"/>
  </r>
  <r>
    <s v="3622723-1458728454-216"/>
    <s v="Spot"/>
    <s v="3622723-1458728454-216"/>
    <n v="0"/>
    <d v="2016-03-31T00:00:00"/>
    <x v="2327"/>
    <s v="216"/>
    <s v="SELL"/>
    <n v="3.3973483326637206"/>
    <x v="0"/>
    <x v="0"/>
    <n v="84.56"/>
    <s v="Deal"/>
    <m/>
    <s v="Original Amount [EUR 24.89], Merchant Amount [EUR 24.89], Customer Amount [TRY 84.56], Status [WAITING], Operation [3D], UUID [3622723-1458728454-216] [23/03/2016 at 10:20:00]"/>
  </r>
  <r>
    <s v="3622717-1458728451-119"/>
    <s v="Spot"/>
    <s v="3622717-1458728451-119"/>
    <n v="0"/>
    <d v="2016-03-31T00:00:00"/>
    <x v="2328"/>
    <s v="119"/>
    <s v="SELL"/>
    <n v="9.9505999999999997"/>
    <x v="0"/>
    <x v="1"/>
    <n v="497.53"/>
    <s v="Deal"/>
    <m/>
    <s v="Original Amount [EUR 50], Merchant Amount [EUR 50], Customer Amount [NOK 497.53], Status [APPROVED], Operation [DIRECT], UUID [3622717-1458728451-119] [23/03/2016 at 10:20:00]"/>
  </r>
  <r>
    <s v="3622732-1458728482-119"/>
    <s v="Spot"/>
    <s v="3622732-1458728482-119"/>
    <n v="0"/>
    <d v="2016-03-31T00:00:00"/>
    <x v="2329"/>
    <s v="119"/>
    <s v="SELL"/>
    <n v="9.9505999999999997"/>
    <x v="0"/>
    <x v="1"/>
    <n v="497.53"/>
    <s v="Deal"/>
    <m/>
    <s v="Original Amount [EUR 50], Merchant Amount [EUR 50], Customer Amount [NOK 497.53], Status [APPROVED], Operation [3DAUTH], UUID [3622732-1458728482-119] [23/03/2016 at 10:21:00]"/>
  </r>
  <r>
    <s v="3622702-1458728434-187"/>
    <s v="Spot"/>
    <s v="3622702-1458728434-187"/>
    <n v="0"/>
    <d v="2016-03-31T00:00:00"/>
    <x v="2330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2702-1458728434-187] [23/03/2016 at 10:20:00]"/>
  </r>
  <r>
    <s v="3622699-1458728433-82"/>
    <s v="Spot"/>
    <s v="3622699-1458728433-82"/>
    <n v="0"/>
    <d v="2016-03-31T00:00:00"/>
    <x v="2331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699-1458728433-82] [23/03/2016 at 10:20:00]"/>
  </r>
  <r>
    <s v="3622705-1458728443-56"/>
    <s v="Spot"/>
    <s v="3622705-1458728443-56"/>
    <n v="0"/>
    <d v="2016-03-31T00:00:00"/>
    <x v="2332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2705-1458728443-56] [23/03/2016 at 10:20:00]"/>
  </r>
  <r>
    <s v="3622687-1458728401-224"/>
    <s v="Spot"/>
    <s v="3622687-1458728401-224"/>
    <n v="0"/>
    <d v="2016-03-31T00:00:00"/>
    <x v="2333"/>
    <s v="224"/>
    <s v="SELL"/>
    <n v="132.83276216586702"/>
    <x v="0"/>
    <x v="3"/>
    <n v="1938.03"/>
    <s v="Deal"/>
    <m/>
    <s v="Original Amount [EUR 14.59], Merchant Amount [EUR 14.59], Customer Amount [JPY 1938.03], Status [APPROVED], Operation [DIRECT], UUID [3622687-1458728401-224] [23/03/2016 at 10:20:00]"/>
  </r>
  <r>
    <s v="3622684-1458728393-224"/>
    <s v="Spot"/>
    <s v="3622684-1458728393-224"/>
    <n v="0"/>
    <d v="2016-03-31T00:00:00"/>
    <x v="2334"/>
    <s v="224"/>
    <s v="SELL"/>
    <n v="9.9510166358595189"/>
    <x v="0"/>
    <x v="1"/>
    <n v="107.67"/>
    <s v="Deal"/>
    <m/>
    <s v="Original Amount [EUR 10.82], Merchant Amount [EUR 10.82], Customer Amount [NOK 107.67], Status [APPROVED], Operation [DIRECT], UUID [3622684-1458728393-224] [23/03/2016 at 10:19:00]"/>
  </r>
  <r>
    <s v="3622681-1458728387-261"/>
    <s v="Spot"/>
    <s v="3622681-1458728387-261"/>
    <n v="0"/>
    <d v="2016-03-31T00:00:00"/>
    <x v="2335"/>
    <s v="261"/>
    <s v="SELL"/>
    <n v="9.9507788161993762"/>
    <x v="0"/>
    <x v="1"/>
    <n v="159.71"/>
    <s v="Deal"/>
    <m/>
    <s v="Original Amount [EUR 16.05], Merchant Amount [EUR 16.05], Customer Amount [NOK 159.71], Status [APPROVED], Operation [DIRECT], UUID [3622681-1458728387-261] [23/03/2016 at 10:19:00]"/>
  </r>
  <r>
    <s v="3623254-1458729246-102"/>
    <s v="Spot"/>
    <s v="3623254-1458729246-102"/>
    <n v="0"/>
    <d v="2016-03-31T00:00:00"/>
    <x v="2336"/>
    <s v="102"/>
    <s v="SELL"/>
    <n v="3.3978494623655915"/>
    <x v="0"/>
    <x v="0"/>
    <n v="31.6"/>
    <s v="Deal"/>
    <m/>
    <s v="Original Amount [EUR 9.3], Merchant Amount [EUR 9.3], Customer Amount [TRY 31.6], Status [APPROVED], Operation [3DAUTH], UUID [3623254-1458729246-102] [23/03/2016 at 10:34:00]"/>
  </r>
  <r>
    <s v="3622672-1458728368-224"/>
    <s v="Spot"/>
    <s v="3622672-1458728368-224"/>
    <n v="0"/>
    <d v="2016-03-31T00:00:00"/>
    <x v="2337"/>
    <s v="224"/>
    <s v="SELL"/>
    <n v="132.83245614035087"/>
    <x v="0"/>
    <x v="3"/>
    <n v="6057.16"/>
    <s v="Deal"/>
    <m/>
    <s v="Original Amount [EUR 45.6], Merchant Amount [EUR 45.6], Customer Amount [JPY 6057.16], Status [APPROVED], Operation [DIRECT], UUID [3622672-1458728368-224] [23/03/2016 at 10:19:00]"/>
  </r>
  <r>
    <s v="3622660-1458728357-56"/>
    <s v="Spot"/>
    <s v="3622660-1458728357-56"/>
    <n v="0"/>
    <d v="2016-03-31T00:00:00"/>
    <x v="2338"/>
    <s v="56"/>
    <s v="SELL"/>
    <n v="3.3975"/>
    <x v="0"/>
    <x v="0"/>
    <n v="27.18"/>
    <s v="Deal"/>
    <m/>
    <s v="Original Amount [EUR 8], Merchant Amount [EUR 8], Customer Amount [TRY 27.18], Status [APPROVED], Operation [3DAUTH], UUID [3622660-1458728357-56] [23/03/2016 at 10:19:00]"/>
  </r>
  <r>
    <s v="3622651-1458728328-216"/>
    <s v="Spot"/>
    <s v="3622651-1458728328-216"/>
    <n v="0"/>
    <d v="2016-03-31T00:00:00"/>
    <x v="2339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651-1458728328-216] [23/03/2016 at 10:18:00]"/>
  </r>
  <r>
    <s v="3622648-1458728327-102"/>
    <s v="Spot"/>
    <s v="3622648-1458728327-102"/>
    <n v="0"/>
    <d v="2016-03-31T00:00:00"/>
    <x v="2340"/>
    <s v="102"/>
    <s v="SELL"/>
    <n v="3.3978494623655915"/>
    <x v="0"/>
    <x v="0"/>
    <n v="31.6"/>
    <s v="Deal"/>
    <m/>
    <s v="Original Amount [EUR 9.3], Merchant Amount [EUR 9.3], Customer Amount [TRY 31.6], Status [WAITING], Operation [3D], UUID [3622648-1458728327-102] [23/03/2016 at 10:18:00]"/>
  </r>
  <r>
    <s v="3622645-1458728325-145"/>
    <s v="Spot"/>
    <s v="3622645-1458728325-145"/>
    <n v="0"/>
    <d v="2016-03-31T00:00:00"/>
    <x v="2341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2645-1458728325-145] [23/03/2016 at 10:18:00]"/>
  </r>
  <r>
    <s v="3622642-1458728325-224"/>
    <s v="Spot"/>
    <s v="3622642-1458728325-224"/>
    <n v="0"/>
    <d v="2016-03-31T00:00:00"/>
    <x v="2342"/>
    <s v="224"/>
    <s v="SELL"/>
    <n v="9.9505697566984921"/>
    <x v="0"/>
    <x v="1"/>
    <n v="646.19000000000005"/>
    <s v="Deal"/>
    <m/>
    <s v="Original Amount [EUR 64.94], Merchant Amount [EUR 64.94], Customer Amount [NOK 646.19], Status [APPROVED], Operation [DIRECT], UUID [3622642-1458728325-224] [23/03/2016 at 10:18:00]"/>
  </r>
  <r>
    <s v="3622639-1458728312-200"/>
    <s v="Spot"/>
    <s v="3622639-1458728312-200"/>
    <n v="0"/>
    <d v="2016-03-31T00:00:00"/>
    <x v="2343"/>
    <s v="200"/>
    <s v="SELL"/>
    <n v="9.9505999999999997"/>
    <x v="0"/>
    <x v="1"/>
    <n v="497.53"/>
    <s v="Deal"/>
    <m/>
    <s v="Original Amount [EUR 50], Merchant Amount [EUR 50], Customer Amount [NOK 497.53], Status [APPROVED], Operation [STORED], UUID [3622639-1458728312-200] [23/03/2016 at 10:18:00]"/>
  </r>
  <r>
    <s v="3622627-1458728293-224"/>
    <s v="Spot"/>
    <s v="3622627-1458728293-224"/>
    <n v="0"/>
    <d v="2016-03-31T00:00:00"/>
    <x v="2344"/>
    <s v="224"/>
    <s v="SELL"/>
    <n v="9.9506210861307878"/>
    <x v="0"/>
    <x v="1"/>
    <n v="969.29"/>
    <s v="Deal"/>
    <m/>
    <s v="Original Amount [EUR 97.41], Merchant Amount [EUR 97.41], Customer Amount [NOK 969.29], Status [APPROVED], Operation [DIRECT], UUID [3622627-1458728293-224] [23/03/2016 at 10:18:00]"/>
  </r>
  <r>
    <s v="3622630-1458728303-56"/>
    <s v="Spot"/>
    <s v="3622630-1458728303-56"/>
    <n v="0"/>
    <d v="2016-03-31T00:00:00"/>
    <x v="2345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22630-1458728303-56] [23/03/2016 at 10:18:00]"/>
  </r>
  <r>
    <s v="3622618-1458728275-199"/>
    <s v="Spot"/>
    <s v="3622618-1458728275-199"/>
    <n v="0"/>
    <d v="2016-03-31T00:00:00"/>
    <x v="2346"/>
    <s v="199"/>
    <s v="SELL"/>
    <n v="9.9506627393225333"/>
    <x v="0"/>
    <x v="1"/>
    <n v="540.52"/>
    <s v="Deal"/>
    <m/>
    <s v="Original Amount [EUR 54.32], Merchant Amount [EUR 54.32], Customer Amount [NOK 540.52], Status [APPROVED], Operation [DIRECT], UUID [3622618-1458728275-199] [23/03/2016 at 10:17:00]"/>
  </r>
  <r>
    <s v="3622609-1458728267-119"/>
    <s v="Spot"/>
    <s v="3622609-1458728267-119"/>
    <n v="0"/>
    <d v="2016-03-31T00:00:00"/>
    <x v="2347"/>
    <s v="119"/>
    <s v="SELL"/>
    <n v="9.9505999999999997"/>
    <x v="0"/>
    <x v="1"/>
    <n v="995.06"/>
    <s v="Deal"/>
    <m/>
    <s v="Original Amount [EUR 100], Merchant Amount [EUR 100], Customer Amount [NOK 995.06], Status [APPROVED], Operation [DIRECT], UUID [3622609-1458728267-119] [23/03/2016 at 10:17:00]"/>
  </r>
  <r>
    <s v="3622606-1458728261-126"/>
    <s v="Spot"/>
    <s v="3622606-1458728261-126"/>
    <n v="0"/>
    <d v="2016-03-31T00:00:00"/>
    <x v="23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2606-1458728261-126] [23/03/2016 at 10:17:00]"/>
  </r>
  <r>
    <s v="3622585-1458728246-82"/>
    <s v="Spot"/>
    <s v="3622585-1458728246-82"/>
    <n v="0"/>
    <d v="2016-03-31T00:00:00"/>
    <x v="2349"/>
    <s v="82"/>
    <s v="SELL"/>
    <n v="0.8362068965517242"/>
    <x v="0"/>
    <x v="4"/>
    <n v="1.94"/>
    <s v="Deal"/>
    <m/>
    <s v="Original Amount [GBP 1.94], Merchant Amount [EUR 2.32], Customer Amount [GBP 1.94], Status [APPROVED], Operation [DIRECT], UUID [3622585-1458728246-82] [23/03/2016 at 10:17:00]"/>
  </r>
  <r>
    <s v="3622582-1458728242-119"/>
    <s v="Spot"/>
    <s v="3622582-1458728242-119"/>
    <n v="0"/>
    <d v="2016-03-31T00:00:00"/>
    <x v="2350"/>
    <s v="119"/>
    <s v="SELL"/>
    <n v="9.9505999999999997"/>
    <x v="0"/>
    <x v="1"/>
    <n v="1492.59"/>
    <s v="Deal"/>
    <m/>
    <s v="Original Amount [EUR 150], Merchant Amount [EUR 150], Customer Amount [NOK 1492.59], Status [APPROVED], Operation [DIRECT], UUID [3622582-1458728242-119] [23/03/2016 at 10:17:00]"/>
  </r>
  <r>
    <s v="3622591-1458728250-107"/>
    <s v="Spot"/>
    <s v="3622591-1458728250-107"/>
    <n v="0"/>
    <d v="2016-03-31T00:00:00"/>
    <x v="2351"/>
    <s v="107"/>
    <s v="SELL"/>
    <n v="3.397371472748357"/>
    <x v="0"/>
    <x v="0"/>
    <n v="87.89"/>
    <s v="Deal"/>
    <m/>
    <s v="Original Amount [EUR 25.87], Merchant Amount [EUR 25.87], Customer Amount [TRY 87.89], Status [APPROVED], Operation [3DAUTH], UUID [3622591-1458728250-107] [23/03/2016 at 10:17:00]"/>
  </r>
  <r>
    <s v="3622573-1458728228-238"/>
    <s v="Spot"/>
    <s v="3622573-1458728228-238"/>
    <n v="0"/>
    <d v="2016-03-31T00:00:00"/>
    <x v="235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573-1458728228-238] [23/03/2016 at 10:17:00]"/>
  </r>
  <r>
    <s v="3622600-1458728257-203"/>
    <s v="Spot"/>
    <s v="3622600-1458728257-203"/>
    <n v="0"/>
    <d v="2016-03-31T00:00:00"/>
    <x v="2353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2600-1458728257-203] [23/03/2016 at 10:17:00]"/>
  </r>
  <r>
    <s v="3622567-1458728226-126"/>
    <s v="Spot"/>
    <s v="3622567-1458728226-126"/>
    <n v="0"/>
    <d v="2016-03-31T00:00:00"/>
    <x v="2354"/>
    <s v="126"/>
    <s v="SELL"/>
    <n v="9.9505691056910575"/>
    <x v="0"/>
    <x v="1"/>
    <n v="305.98"/>
    <s v="Deal"/>
    <m/>
    <s v="Original Amount [EUR 30.75], Merchant Amount [EUR 30.75], Customer Amount [NOK 305.98], Status [APPROVED], Operation [DIRECT], UUID [3622567-1458728226-126] [23/03/2016 at 10:17:00]"/>
  </r>
  <r>
    <s v="3622564-1458728215-82"/>
    <s v="Spot"/>
    <s v="3622564-1458728215-82"/>
    <n v="0"/>
    <d v="2016-03-31T00:00:00"/>
    <x v="2355"/>
    <s v="82"/>
    <s v="SELL"/>
    <n v="0.83624912526242123"/>
    <x v="0"/>
    <x v="4"/>
    <n v="11.95"/>
    <s v="Deal"/>
    <m/>
    <s v="Original Amount [GBP 11.95], Merchant Amount [EUR 14.29], Customer Amount [GBP 11.95], Status [APPROVED], Operation [DIRECT], UUID [3622564-1458728215-82] [23/03/2016 at 10:16:00]"/>
  </r>
  <r>
    <s v="3622555-1458728199-119"/>
    <s v="Spot"/>
    <s v="3622555-1458728199-119"/>
    <n v="0"/>
    <d v="2016-03-31T00:00:00"/>
    <x v="2356"/>
    <s v="119"/>
    <s v="SELL"/>
    <n v="9.950800000000001"/>
    <x v="0"/>
    <x v="1"/>
    <n v="248.77"/>
    <s v="Deal"/>
    <m/>
    <s v="Original Amount [EUR 25], Merchant Amount [EUR 25], Customer Amount [NOK 248.77], Status [APPROVED], Operation [DIRECT], UUID [3622555-1458728199-119] [23/03/2016 at 10:16:00]"/>
  </r>
  <r>
    <s v="3622549-1458728181-145"/>
    <s v="Spot"/>
    <s v="3622549-1458728181-145"/>
    <n v="0"/>
    <d v="2016-03-31T00:00:00"/>
    <x v="2357"/>
    <s v="145"/>
    <s v="SELL"/>
    <n v="9.9509665252239508"/>
    <x v="0"/>
    <x v="1"/>
    <n v="211.06"/>
    <s v="Deal"/>
    <m/>
    <s v="Original Amount [EUR 21.21], Merchant Amount [EUR 21.21], Customer Amount [NOK 211.06], Status [APPROVED], Operation [DIRECT], UUID [3622549-1458728181-145] [23/03/2016 at 10:16:00]"/>
  </r>
  <r>
    <s v="3622546-1458728173-216"/>
    <s v="Spot"/>
    <s v="3622546-1458728173-216"/>
    <n v="0"/>
    <d v="2016-03-31T00:00:00"/>
    <x v="2358"/>
    <s v="216"/>
    <s v="SELL"/>
    <n v="3.3973097112860891"/>
    <x v="0"/>
    <x v="0"/>
    <n v="103.55"/>
    <s v="Deal"/>
    <m/>
    <s v="Original Amount [EUR 30.48], Merchant Amount [EUR 30.48], Customer Amount [TRY 103.55], Status [WAITING], Operation [3D], UUID [3622546-1458728173-216] [23/03/2016 at 10:16:00]"/>
  </r>
  <r>
    <s v="3622540-1458728165-224"/>
    <s v="Spot"/>
    <s v="3622540-1458728165-224"/>
    <n v="0"/>
    <d v="2016-03-31T00:00:00"/>
    <x v="2359"/>
    <s v="224"/>
    <s v="SELL"/>
    <n v="9.9507085643869377"/>
    <x v="0"/>
    <x v="1"/>
    <n v="161.5"/>
    <s v="Deal"/>
    <m/>
    <s v="Original Amount [EUR 16.23], Merchant Amount [EUR 16.23], Customer Amount [NOK 161.5], Status [APPROVED], Operation [DIRECT], UUID [3622540-1458728165-224] [23/03/2016 at 10:16:00]"/>
  </r>
  <r>
    <s v="3622552-1458728193-216"/>
    <s v="Spot"/>
    <s v="3622552-1458728193-216"/>
    <n v="0"/>
    <d v="2016-03-31T00:00:00"/>
    <x v="2360"/>
    <s v="216"/>
    <s v="SELL"/>
    <n v="3.397106109324759"/>
    <x v="0"/>
    <x v="0"/>
    <n v="42.26"/>
    <s v="Deal"/>
    <m/>
    <s v="Original Amount [EUR 12.44], Merchant Amount [EUR 12.44], Customer Amount [TRY 42.26], Status [APPROVED], Operation [3DAUTH], UUID [3622552-1458728193-216] [23/03/2016 at 10:16:00]"/>
  </r>
  <r>
    <s v="3622519-1458728133-216"/>
    <s v="Spot"/>
    <s v="3622519-1458728133-216"/>
    <n v="0"/>
    <d v="2016-03-31T00:00:00"/>
    <x v="2361"/>
    <s v="216"/>
    <s v="SELL"/>
    <n v="3.3974276527331186"/>
    <x v="0"/>
    <x v="0"/>
    <n v="52.83"/>
    <s v="Deal"/>
    <m/>
    <s v="Original Amount [EUR 15.55], Merchant Amount [EUR 15.55], Customer Amount [TRY 52.83], Status [WAITING], Operation [3D], UUID [3622519-1458728133-216] [23/03/2016 at 10:15:00]"/>
  </r>
  <r>
    <s v="3622513-1458728128-224"/>
    <s v="Spot"/>
    <s v="3622513-1458728128-224"/>
    <n v="0"/>
    <d v="2016-03-31T00:00:00"/>
    <x v="2362"/>
    <s v="224"/>
    <s v="SELL"/>
    <n v="132.99332906881111"/>
    <x v="0"/>
    <x v="3"/>
    <n v="14553.46"/>
    <s v="Deal"/>
    <m/>
    <s v="Original Amount [EUR 109.43], Merchant Amount [EUR 109.43], Customer Amount [JPY 14553.46], Status [APPROVED], Operation [DIRECT], UUID [3622513-1458728128-224] [23/03/2016 at 10:15:00]"/>
  </r>
  <r>
    <s v="3622528-1458728148-56"/>
    <s v="Spot"/>
    <s v="3622528-1458728148-56"/>
    <n v="0"/>
    <d v="2016-03-31T00:00:00"/>
    <x v="2363"/>
    <s v="56"/>
    <s v="SELL"/>
    <n v="3.3975"/>
    <x v="0"/>
    <x v="0"/>
    <n v="27.18"/>
    <s v="Deal"/>
    <m/>
    <s v="Original Amount [EUR 8], Merchant Amount [EUR 8], Customer Amount [TRY 27.18], Status [APPROVED], Operation [3DAUTH], UUID [3622528-1458728148-56] [23/03/2016 at 10:15:00]"/>
  </r>
  <r>
    <s v="3622486-1458728113-187"/>
    <s v="Spot"/>
    <s v="3622486-1458728113-187"/>
    <n v="0"/>
    <d v="2016-03-31T00:00:00"/>
    <x v="2364"/>
    <s v="187"/>
    <s v="SELL"/>
    <n v="9.9506522972206461"/>
    <x v="0"/>
    <x v="1"/>
    <n v="526.29"/>
    <s v="Deal"/>
    <m/>
    <s v="Original Amount [EUR 52.89], Merchant Amount [EUR 52.89], Customer Amount [NOK 526.29], Status [APPROVED], Operation [DIRECT], UUID [3622486-1458728113-187] [23/03/2016 at 10:15:00]"/>
  </r>
  <r>
    <s v="3622504-1458728123-216"/>
    <s v="Spot"/>
    <s v="3622504-1458728123-216"/>
    <n v="0"/>
    <d v="2016-03-31T00:00:00"/>
    <x v="2365"/>
    <s v="216"/>
    <s v="SELL"/>
    <n v="3.3919845692241752"/>
    <x v="0"/>
    <x v="0"/>
    <n v="158.27000000000001"/>
    <s v="Deal"/>
    <m/>
    <s v="Original Amount [EUR 46.66], Merchant Amount [EUR 46.66], Customer Amount [TRY 158.27], Status [APPROVED], Operation [3DAUTH], UUID [3622504-1458728123-216] [23/03/2016 at 10:15:00]"/>
  </r>
  <r>
    <s v="3622522-1458728134-150"/>
    <s v="Spot"/>
    <s v="3622522-1458728134-150"/>
    <n v="0"/>
    <d v="2016-03-31T00:00:00"/>
    <x v="2366"/>
    <s v="150"/>
    <s v="SELL"/>
    <n v="3.3923778851315087"/>
    <x v="0"/>
    <x v="0"/>
    <n v="63.2"/>
    <s v="Deal"/>
    <m/>
    <s v="Original Amount [EUR 18.63], Merchant Amount [EUR 18.63], Customer Amount [TRY 63.2], Status [APPROVED], Operation [3DAUTH], UUID [3622522-1458728134-150] [23/03/2016 at 10:15:00]"/>
  </r>
  <r>
    <s v="3622525-1458728135-216"/>
    <s v="Spot"/>
    <s v="3622525-1458728135-216"/>
    <n v="0"/>
    <d v="2016-03-31T00:00:00"/>
    <x v="2367"/>
    <s v="216"/>
    <s v="SELL"/>
    <n v="3.391938250428816"/>
    <x v="0"/>
    <x v="0"/>
    <n v="39.549999999999997"/>
    <s v="Deal"/>
    <m/>
    <s v="Original Amount [EUR 11.66], Merchant Amount [EUR 11.66], Customer Amount [TRY 39.55], Status [APPROVED], Operation [3DAUTH], UUID [3622525-1458728135-216] [23/03/2016 at 10:15:00]"/>
  </r>
  <r>
    <s v="3622456-1458728081-224"/>
    <s v="Spot"/>
    <s v="3622456-1458728081-224"/>
    <n v="0"/>
    <d v="2016-03-31T00:00:00"/>
    <x v="2368"/>
    <s v="224"/>
    <s v="SELL"/>
    <n v="9.942018942018942"/>
    <x v="0"/>
    <x v="1"/>
    <n v="430.39"/>
    <s v="Deal"/>
    <m/>
    <s v="Original Amount [EUR 43.29], Merchant Amount [EUR 43.29], Customer Amount [NOK 430.39], Status [APPROVED], Operation [DIRECT], UUID [3622456-1458728081-224] [23/03/2016 at 10:14:00]"/>
  </r>
  <r>
    <s v="3622438-1458728051-216"/>
    <s v="Spot"/>
    <s v="3622438-1458728051-216"/>
    <n v="0"/>
    <d v="2016-03-31T00:00:00"/>
    <x v="2369"/>
    <s v="216"/>
    <s v="SELL"/>
    <n v="3.3922829581993565"/>
    <x v="0"/>
    <x v="0"/>
    <n v="52.75"/>
    <s v="Deal"/>
    <m/>
    <s v="Original Amount [EUR 15.55], Merchant Amount [EUR 15.55], Customer Amount [TRY 52.75], Status [WAITING], Operation [3D], UUID [3622438-1458728051-216] [23/03/2016 at 10:14:00]"/>
  </r>
  <r>
    <s v="3622435-1458728048-200"/>
    <s v="Spot"/>
    <s v="3622435-1458728048-200"/>
    <n v="0"/>
    <d v="2016-03-31T00:00:00"/>
    <x v="2370"/>
    <s v="200"/>
    <s v="SELL"/>
    <n v="9.9417999999999989"/>
    <x v="0"/>
    <x v="1"/>
    <n v="994.18"/>
    <s v="Deal"/>
    <m/>
    <s v="Original Amount [EUR 100], Merchant Amount [EUR 100], Customer Amount [NOK 994.18], Status [APPROVED], Operation [STORED], UUID [3622435-1458728048-200] [23/03/2016 at 10:14:00]"/>
  </r>
  <r>
    <s v="3622423-1458728037-199"/>
    <s v="Spot"/>
    <s v="3622423-1458728037-199"/>
    <n v="0"/>
    <d v="2016-03-31T00:00:00"/>
    <x v="2371"/>
    <s v="199"/>
    <s v="SELL"/>
    <n v="9.9423312883435582"/>
    <x v="0"/>
    <x v="1"/>
    <n v="162.06"/>
    <s v="Deal"/>
    <m/>
    <s v="Original Amount [EUR 16.3], Merchant Amount [EUR 16.3], Customer Amount [NOK 162.06], Status [APPROVED], Operation [DIRECT], UUID [3622423-1458728037-199] [23/03/2016 at 10:13:00]"/>
  </r>
  <r>
    <s v="3622453-1458728080-216"/>
    <s v="Spot"/>
    <s v="3622453-1458728080-216"/>
    <n v="0"/>
    <d v="2016-03-31T00:00:00"/>
    <x v="2372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53-1458728080-216] [23/03/2016 at 10:14:00]"/>
  </r>
  <r>
    <s v="3622417-1458728024-119"/>
    <s v="Spot"/>
    <s v="3622417-1458728024-119"/>
    <n v="0"/>
    <d v="2016-03-31T00:00:00"/>
    <x v="2373"/>
    <s v="119"/>
    <s v="SELL"/>
    <n v="9.9417999999999989"/>
    <x v="0"/>
    <x v="1"/>
    <n v="994.18"/>
    <s v="Deal"/>
    <m/>
    <s v="Original Amount [EUR 100], Merchant Amount [EUR 100], Customer Amount [NOK 994.18], Status [APPROVED], Operation [DIRECT], UUID [3622417-1458728024-119] [23/03/2016 at 10:13:00]"/>
  </r>
  <r>
    <s v="3622444-1458728054-216"/>
    <s v="Spot"/>
    <s v="3622444-1458728054-216"/>
    <n v="0"/>
    <d v="2016-03-31T00:00:00"/>
    <x v="2374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444-1458728054-216] [23/03/2016 at 10:14:00]"/>
  </r>
  <r>
    <s v="3622432-1458728047-216"/>
    <s v="Spot"/>
    <s v="3622432-1458728047-216"/>
    <n v="0"/>
    <d v="2016-03-31T00:00:00"/>
    <x v="2375"/>
    <s v="216"/>
    <s v="SELL"/>
    <n v="3.391933330036105"/>
    <x v="0"/>
    <x v="0"/>
    <n v="1371.63"/>
    <s v="Deal"/>
    <m/>
    <s v="Original Amount [EUR 404.38], Merchant Amount [EUR 404.38], Customer Amount [TRY 1371.63], Status [APPROVED], Operation [3DAUTH], UUID [3622432-1458728047-216] [23/03/2016 at 10:14:00]"/>
  </r>
  <r>
    <s v="3622447-1458728059-101"/>
    <s v="Spot"/>
    <s v="3622447-1458728059-101"/>
    <n v="0"/>
    <d v="2016-03-31T00:00:00"/>
    <x v="2376"/>
    <s v="101"/>
    <s v="SELL"/>
    <n v="3.3923723335488036"/>
    <x v="0"/>
    <x v="0"/>
    <n v="52.48"/>
    <s v="Deal"/>
    <m/>
    <s v="Original Amount [EUR 15.47], Merchant Amount [EUR 15.47], Customer Amount [TRY 52.48], Status [APPROVED], Operation [3DAUTH], UUID [3622447-1458728059-101] [23/03/2016 at 10:14:00]"/>
  </r>
  <r>
    <s v="3622375-1458727987-82"/>
    <s v="Spot"/>
    <s v="3622375-1458727987-82"/>
    <n v="0"/>
    <d v="2016-03-31T00:00:00"/>
    <x v="237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375-1458727987-82] [23/03/2016 at 10:13:00]"/>
  </r>
  <r>
    <s v="3622408-1458728019-216"/>
    <s v="Spot"/>
    <s v="3622408-1458728019-216"/>
    <n v="0"/>
    <d v="2016-03-31T00:00:00"/>
    <x v="2378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408-1458728019-216] [23/03/2016 at 10:13:00]"/>
  </r>
  <r>
    <s v="3622411-1458728022-203"/>
    <s v="Spot"/>
    <s v="3622411-1458728022-203"/>
    <n v="0"/>
    <d v="2016-03-31T00:00:00"/>
    <x v="2379"/>
    <s v="203"/>
    <s v="SELL"/>
    <n v="3.3922580645161293"/>
    <x v="0"/>
    <x v="0"/>
    <n v="78.87"/>
    <s v="Deal"/>
    <m/>
    <s v="Original Amount [EUR 23.25], Merchant Amount [EUR 23.25], Customer Amount [TRY 78.87], Status [APPROVED], Operation [3DAUTH], UUID [3622411-1458728022-203] [23/03/2016 at 10:13:00]"/>
  </r>
  <r>
    <s v="3622357-1458727972-119"/>
    <s v="Spot"/>
    <s v="3622357-1458727972-119"/>
    <n v="0"/>
    <d v="2016-03-31T00:00:00"/>
    <x v="2380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357-1458727972-119] [23/03/2016 at 10:12:00]"/>
  </r>
  <r>
    <s v="3622390-1458728002-56"/>
    <s v="Spot"/>
    <s v="3622390-1458728002-56"/>
    <n v="0"/>
    <d v="2016-03-31T00:00:00"/>
    <x v="2381"/>
    <s v="56"/>
    <s v="SELL"/>
    <n v="3.3921323758975959"/>
    <x v="0"/>
    <x v="0"/>
    <n v="108.65"/>
    <s v="Deal"/>
    <m/>
    <s v="Original Amount [EUR 32.03], Merchant Amount [EUR 32.03], Customer Amount [TRY 108.65], Status [APPROVED], Operation [3DAUTH], UUID [3622390-1458728002-56] [23/03/2016 at 10:13:00]"/>
  </r>
  <r>
    <s v="3622336-1458727955-82"/>
    <s v="Spot"/>
    <s v="3622336-1458727955-82"/>
    <n v="0"/>
    <d v="2016-03-31T00:00:00"/>
    <x v="2382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336-1458727955-82] [23/03/2016 at 10:12:00]"/>
  </r>
  <r>
    <s v="3622342-1458727967-264"/>
    <s v="Spot"/>
    <s v="3622342-1458727967-264"/>
    <n v="0"/>
    <d v="2016-03-31T00:00:00"/>
    <x v="2383"/>
    <s v="264"/>
    <s v="SELL"/>
    <n v="3.3911925425908067"/>
    <x v="0"/>
    <x v="0"/>
    <n v="105.5"/>
    <s v="Deal"/>
    <m/>
    <s v="Original Amount [TRY 100], Merchant Amount [EUR 31.11], Customer Amount [TRY 105.5], Status [APPROVED], Operation [3DAUTH], UUID [3622342-1458727967-264] [23/03/2016 at 10:12:00]"/>
  </r>
  <r>
    <s v="3622345-1458727968-216"/>
    <s v="Spot"/>
    <s v="3622345-1458727968-216"/>
    <n v="0"/>
    <d v="2016-03-31T00:00:00"/>
    <x v="2384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2345-1458727968-216] [23/03/2016 at 10:12:00]"/>
  </r>
  <r>
    <s v="3622327-1458727945-187"/>
    <s v="Spot"/>
    <s v="3622327-1458727945-187"/>
    <n v="0"/>
    <d v="2016-03-31T00:00:00"/>
    <x v="2385"/>
    <s v="187"/>
    <s v="SELL"/>
    <n v="9.9418622971482584"/>
    <x v="0"/>
    <x v="1"/>
    <n v="631.01"/>
    <s v="Deal"/>
    <m/>
    <s v="Original Amount [EUR 63.47], Merchant Amount [EUR 63.47], Customer Amount [NOK 631.01], Status [APPROVED], Operation [DIRECT], UUID [3622327-1458727945-187] [23/03/2016 at 10:12:00]"/>
  </r>
  <r>
    <s v="3622384-1458727996-101"/>
    <s v="Spot"/>
    <s v="3622384-1458727996-101"/>
    <n v="0"/>
    <d v="2016-03-31T00:00:00"/>
    <x v="2386"/>
    <s v="101"/>
    <s v="SELL"/>
    <n v="3.3921323758975959"/>
    <x v="0"/>
    <x v="0"/>
    <n v="108.65"/>
    <s v="Deal"/>
    <m/>
    <s v="Original Amount [EUR 32.03], Merchant Amount [EUR 32.03], Customer Amount [TRY 108.65], Status [APPROVED], Operation [3DAUTH], UUID [3622384-1458727996-101] [23/03/2016 at 10:13:00]"/>
  </r>
  <r>
    <s v="3622348-1458727968-216"/>
    <s v="Spot"/>
    <s v="3622348-1458727968-216"/>
    <n v="0"/>
    <d v="2016-03-31T00:00:00"/>
    <x v="2387"/>
    <s v="216"/>
    <s v="SELL"/>
    <n v="3.3921859545004951"/>
    <x v="0"/>
    <x v="0"/>
    <n v="68.59"/>
    <s v="Deal"/>
    <m/>
    <s v="Original Amount [EUR 20.22], Merchant Amount [EUR 20.22], Customer Amount [TRY 68.59], Status [APPROVED], Operation [3DAUTH], UUID [3622348-1458727968-216] [23/03/2016 at 10:12:00]"/>
  </r>
  <r>
    <s v="3622309-1458727927-82"/>
    <s v="Spot"/>
    <s v="3622309-1458727927-82"/>
    <n v="0"/>
    <d v="2016-03-31T00:00:00"/>
    <x v="2388"/>
    <s v="82"/>
    <s v="SELL"/>
    <n v="0.83539603960396036"/>
    <x v="0"/>
    <x v="4"/>
    <n v="13.5"/>
    <s v="Deal"/>
    <m/>
    <s v="Original Amount [GBP 13.5], Merchant Amount [EUR 16.16], Customer Amount [GBP 13.5], Status [APPROVED], Operation [DIRECT], UUID [3622309-1458727927-82] [23/03/2016 at 10:12:00]"/>
  </r>
  <r>
    <s v="3622297-1458727923-216"/>
    <s v="Spot"/>
    <s v="3622297-1458727923-216"/>
    <n v="0"/>
    <d v="2016-03-31T00:00:00"/>
    <x v="2389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297-1458727923-216] [23/03/2016 at 10:12:00]"/>
  </r>
  <r>
    <s v="3622318-1458727938-101"/>
    <s v="Spot"/>
    <s v="3622318-1458727938-101"/>
    <n v="0"/>
    <d v="2016-03-31T00:00:00"/>
    <x v="2390"/>
    <s v="101"/>
    <s v="SELL"/>
    <n v="3.3970657093803656"/>
    <x v="0"/>
    <x v="0"/>
    <n v="435.3"/>
    <s v="Deal"/>
    <m/>
    <s v="Original Amount [EUR 128.14], Merchant Amount [EUR 128.14], Customer Amount [TRY 435.3], Status [APPROVED], Operation [3DAUTH], UUID [3622318-1458727938-101] [23/03/2016 at 10:12:00]"/>
  </r>
  <r>
    <s v="3622273-1458727903-199"/>
    <s v="Spot"/>
    <s v="3622273-1458727903-199"/>
    <n v="0"/>
    <d v="2016-03-31T00:00:00"/>
    <x v="2391"/>
    <s v="199"/>
    <s v="SELL"/>
    <n v="9.9548802946593007"/>
    <x v="0"/>
    <x v="1"/>
    <n v="108.11"/>
    <s v="Deal"/>
    <m/>
    <s v="Original Amount [EUR 10.86], Merchant Amount [EUR 10.86], Customer Amount [NOK 108.11], Status [APPROVED], Operation [DIRECT], UUID [3622273-1458727903-199] [23/03/2016 at 10:11:00]"/>
  </r>
  <r>
    <s v="3622315-1458727931-216"/>
    <s v="Spot"/>
    <s v="3622315-1458727931-216"/>
    <n v="0"/>
    <d v="2016-03-31T00:00:00"/>
    <x v="2392"/>
    <s v="216"/>
    <s v="SELL"/>
    <n v="3.397128161165881"/>
    <x v="0"/>
    <x v="0"/>
    <n v="158.51"/>
    <s v="Deal"/>
    <m/>
    <s v="Original Amount [EUR 46.66], Merchant Amount [EUR 46.66], Customer Amount [TRY 158.51], Status [APPROVED], Operation [3DAUTH], UUID [3622315-1458727931-216] [23/03/2016 at 10:12:00]"/>
  </r>
  <r>
    <s v="3622255-1458727886-224"/>
    <s v="Spot"/>
    <s v="3622255-1458727886-224"/>
    <n v="0"/>
    <d v="2016-03-31T00:00:00"/>
    <x v="2393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2255-1458727886-224] [23/03/2016 at 10:11:00]"/>
  </r>
  <r>
    <s v="3622279-1458727906-151"/>
    <s v="Spot"/>
    <s v="3622279-1458727906-151"/>
    <n v="0"/>
    <d v="2016-03-31T00:00:00"/>
    <x v="2394"/>
    <s v="151"/>
    <s v="SELL"/>
    <n v="3.3970694791079623"/>
    <x v="0"/>
    <x v="0"/>
    <n v="421.95"/>
    <s v="Deal"/>
    <m/>
    <s v="Original Amount [EUR 124.21], Merchant Amount [EUR 124.21], Customer Amount [TRY 421.95], Status [APPROVED], Operation [3DAUTH], UUID [3622279-1458727906-151] [23/03/2016 at 10:11:00]"/>
  </r>
  <r>
    <s v="3622246-1458727876-224"/>
    <s v="Spot"/>
    <s v="3622246-1458727876-224"/>
    <n v="0"/>
    <d v="2016-03-31T00:00:00"/>
    <x v="2395"/>
    <s v="224"/>
    <s v="SELL"/>
    <n v="9.9545609416137513"/>
    <x v="0"/>
    <x v="1"/>
    <n v="3213.83"/>
    <s v="Deal"/>
    <m/>
    <s v="Original Amount [EUR 322.85], Merchant Amount [EUR 322.85], Customer Amount [NOK 3213.83], Status [APPROVED], Operation [DIRECT], UUID [3622246-1458727876-224] [23/03/2016 at 10:11:00]"/>
  </r>
  <r>
    <s v="3622243-1458727870-126"/>
    <s v="Spot"/>
    <s v="3622243-1458727870-126"/>
    <n v="0"/>
    <d v="2016-03-31T00:00:00"/>
    <x v="239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43-1458727870-126] [23/03/2016 at 10:11:00]"/>
  </r>
  <r>
    <s v="3622240-1458727870-216"/>
    <s v="Spot"/>
    <s v="3622240-1458727870-216"/>
    <n v="0"/>
    <d v="2016-03-31T00:00:00"/>
    <x v="2397"/>
    <s v="216"/>
    <s v="SELL"/>
    <n v="3.3972999035679847"/>
    <x v="0"/>
    <x v="0"/>
    <n v="105.69"/>
    <s v="Deal"/>
    <m/>
    <s v="Original Amount [EUR 31.11], Merchant Amount [EUR 31.11], Customer Amount [TRY 105.69], Status [WAITING], Operation [3D], UUID [3622240-1458727870-216] [23/03/2016 at 10:11:00]"/>
  </r>
  <r>
    <s v="3622237-1458727865-126"/>
    <s v="Spot"/>
    <s v="3622237-1458727865-126"/>
    <n v="0"/>
    <d v="2016-03-31T00:00:00"/>
    <x v="2398"/>
    <s v="126"/>
    <s v="SELL"/>
    <n v="9.9546341463414638"/>
    <x v="0"/>
    <x v="1"/>
    <n v="1020.35"/>
    <s v="Deal"/>
    <m/>
    <s v="Original Amount [EUR 102.5], Merchant Amount [EUR 102.5], Customer Amount [NOK 1020.35], Status [APPROVED], Operation [DIRECT], UUID [3622237-1458727865-126] [23/03/2016 at 10:11:00]"/>
  </r>
  <r>
    <s v="3622231-1458727856-126"/>
    <s v="Spot"/>
    <s v="3622231-1458727856-126"/>
    <n v="0"/>
    <d v="2016-03-31T00:00:00"/>
    <x v="2399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2231-1458727856-126] [23/03/2016 at 10:10:00]"/>
  </r>
  <r>
    <s v="3622225-1458727853-224"/>
    <s v="Spot"/>
    <s v="3622225-1458727853-224"/>
    <n v="0"/>
    <d v="2016-03-31T00:00:00"/>
    <x v="2400"/>
    <s v="224"/>
    <s v="SELL"/>
    <n v="9.9546336505589945"/>
    <x v="0"/>
    <x v="1"/>
    <n v="1077.3900000000001"/>
    <s v="Deal"/>
    <m/>
    <s v="Original Amount [EUR 108.23], Merchant Amount [EUR 108.23], Customer Amount [NOK 1077.39], Status [APPROVED], Operation [DIRECT], UUID [3622225-1458727853-224] [23/03/2016 at 10:10:00]"/>
  </r>
  <r>
    <s v="3622222-1458727849-224"/>
    <s v="Spot"/>
    <s v="3622222-1458727849-224"/>
    <n v="0"/>
    <d v="2016-03-31T00:00:00"/>
    <x v="2401"/>
    <s v="224"/>
    <s v="SELL"/>
    <n v="9.9545734524176179"/>
    <x v="0"/>
    <x v="1"/>
    <n v="646.45000000000005"/>
    <s v="Deal"/>
    <m/>
    <s v="Original Amount [EUR 64.94], Merchant Amount [EUR 64.94], Customer Amount [NOK 646.45], Status [APPROVED], Operation [DIRECT], UUID [3622222-1458727849-224] [23/03/2016 at 10:10:00]"/>
  </r>
  <r>
    <s v="3622261-1458727891-216"/>
    <s v="Spot"/>
    <s v="3622261-1458727891-216"/>
    <n v="0"/>
    <d v="2016-03-31T00:00:00"/>
    <x v="2402"/>
    <s v="216"/>
    <s v="SELL"/>
    <n v="3.3974276527331186"/>
    <x v="0"/>
    <x v="0"/>
    <n v="52.83"/>
    <s v="Deal"/>
    <m/>
    <s v="Original Amount [EUR 15.55], Merchant Amount [EUR 15.55], Customer Amount [TRY 52.83], Status [APPROVED], Operation [3DAUTH], UUID [3622261-1458727891-216] [23/03/2016 at 10:11:00]"/>
  </r>
  <r>
    <s v="3622204-1458727824-82"/>
    <s v="Spot"/>
    <s v="3622204-1458727824-82"/>
    <n v="0"/>
    <d v="2016-03-31T00:00:00"/>
    <x v="2403"/>
    <s v="82"/>
    <s v="SELL"/>
    <n v="1.1866125760649089"/>
    <x v="0"/>
    <x v="7"/>
    <n v="40.950000000000003"/>
    <s v="Deal"/>
    <m/>
    <s v="Original Amount [USD 40.95], Merchant Amount [EUR 34.51], Customer Amount [USD 40.95], Status [APPROVED], Operation [DIRECT], UUID [3622204-1458727824-82] [23/03/2016 at 10:10:00]"/>
  </r>
  <r>
    <s v="3622201-1458727819-224"/>
    <s v="Spot"/>
    <s v="3622201-1458727819-224"/>
    <n v="0"/>
    <d v="2016-03-31T00:00:00"/>
    <x v="2404"/>
    <s v="224"/>
    <s v="SELL"/>
    <n v="132.882796435915"/>
    <x v="0"/>
    <x v="3"/>
    <n v="9693.7999999999993"/>
    <s v="Deal"/>
    <m/>
    <s v="Original Amount [EUR 72.95], Merchant Amount [EUR 72.95], Customer Amount [JPY 9693.8], Status [APPROVED], Operation [DIRECT], UUID [3622201-1458727819-224] [23/03/2016 at 10:10:00]"/>
  </r>
  <r>
    <s v="3622195-1458727817-126"/>
    <s v="Spot"/>
    <s v="3622195-1458727817-126"/>
    <n v="0"/>
    <d v="2016-03-31T00:00:00"/>
    <x v="2405"/>
    <s v="126"/>
    <s v="SELL"/>
    <n v="9.9551219512195122"/>
    <x v="0"/>
    <x v="1"/>
    <n v="102.04"/>
    <s v="Deal"/>
    <m/>
    <s v="Original Amount [EUR 10.25], Merchant Amount [EUR 10.25], Customer Amount [NOK 102.04], Status [APPROVED], Operation [DIRECT], UUID [3622195-1458727817-126] [23/03/2016 at 10:10:00]"/>
  </r>
  <r>
    <s v="3622186-1458727810-216"/>
    <s v="Spot"/>
    <s v="3622186-1458727810-216"/>
    <n v="0"/>
    <d v="2016-03-31T00:00:00"/>
    <x v="240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2186-1458727810-216] [23/03/2016 at 10:10:00]"/>
  </r>
  <r>
    <s v="3622177-1458727789-261"/>
    <s v="Spot"/>
    <s v="3622177-1458727789-261"/>
    <n v="0"/>
    <d v="2016-03-31T00:00:00"/>
    <x v="2407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2177-1458727789-261] [23/03/2016 at 10:09:00]"/>
  </r>
  <r>
    <s v="3622168-1458727767-200"/>
    <s v="Spot"/>
    <s v="3622168-1458727767-200"/>
    <n v="0"/>
    <d v="2016-03-31T00:00:00"/>
    <x v="240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2168-1458727767-200] [23/03/2016 at 10:09:00]"/>
  </r>
  <r>
    <s v="3622174-1458727784-216"/>
    <s v="Spot"/>
    <s v="3622174-1458727784-216"/>
    <n v="0"/>
    <d v="2016-03-31T00:00:00"/>
    <x v="2409"/>
    <s v="216"/>
    <s v="SELL"/>
    <n v="3.397068278256397"/>
    <x v="0"/>
    <x v="0"/>
    <n v="264.19"/>
    <s v="Deal"/>
    <m/>
    <s v="Original Amount [EUR 77.77], Merchant Amount [EUR 77.77], Customer Amount [TRY 264.19], Status [APPROVED], Operation [3DAUTH], UUID [3622174-1458727784-216] [23/03/2016 at 10:09:00]"/>
  </r>
  <r>
    <s v="3622162-1458727765-224"/>
    <s v="Spot"/>
    <s v="3622162-1458727765-224"/>
    <n v="0"/>
    <d v="2016-03-31T00:00:00"/>
    <x v="2410"/>
    <s v="224"/>
    <s v="SELL"/>
    <n v="132.88301462317207"/>
    <x v="0"/>
    <x v="3"/>
    <n v="4725.32"/>
    <s v="Deal"/>
    <m/>
    <s v="Original Amount [EUR 35.56], Merchant Amount [EUR 35.56], Customer Amount [JPY 4725.32], Status [APPROVED], Operation [DIRECT], UUID [3622162-1458727765-224] [23/03/2016 at 10:09:00]"/>
  </r>
  <r>
    <s v="3622198-1458727819-102"/>
    <s v="Spot"/>
    <s v="3622198-1458727819-102"/>
    <n v="0"/>
    <d v="2016-03-31T00:00:00"/>
    <x v="2411"/>
    <s v="102"/>
    <s v="SELL"/>
    <n v="3.3970967741935483"/>
    <x v="0"/>
    <x v="0"/>
    <n v="105.31"/>
    <s v="Deal"/>
    <m/>
    <s v="Original Amount [EUR 31], Merchant Amount [EUR 31], Customer Amount [TRY 105.31], Status [APPROVED], Operation [3DAUTH], UUID [3622198-1458727819-102] [23/03/2016 at 10:10:00]"/>
  </r>
  <r>
    <s v="3622144-1458727744-238"/>
    <s v="Spot"/>
    <s v="3622144-1458727744-238"/>
    <n v="0"/>
    <d v="2016-03-31T00:00:00"/>
    <x v="2412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2144-1458727744-238] [23/03/2016 at 10:09:00]"/>
  </r>
  <r>
    <s v="3622135-1458727735-224"/>
    <s v="Spot"/>
    <s v="3622135-1458727735-224"/>
    <n v="0"/>
    <d v="2016-03-31T00:00:00"/>
    <x v="2413"/>
    <s v="224"/>
    <s v="SELL"/>
    <n v="132.83246503975869"/>
    <x v="0"/>
    <x v="3"/>
    <n v="4844.3999999999996"/>
    <s v="Deal"/>
    <m/>
    <s v="Original Amount [EUR 36.47], Merchant Amount [EUR 36.47], Customer Amount [JPY 4844.4], Status [APPROVED], Operation [DIRECT], UUID [3622135-1458727735-224] [23/03/2016 at 10:08:00]"/>
  </r>
  <r>
    <s v="3622129-1458727723-224"/>
    <s v="Spot"/>
    <s v="3622129-1458727723-224"/>
    <n v="0"/>
    <d v="2016-03-31T00:00:00"/>
    <x v="2414"/>
    <s v="224"/>
    <s v="SELL"/>
    <n v="9.9418478260869563"/>
    <x v="0"/>
    <x v="1"/>
    <n v="914.65"/>
    <s v="Deal"/>
    <m/>
    <s v="Original Amount [EUR 92], Merchant Amount [EUR 92], Customer Amount [NOK 914.65], Status [APPROVED], Operation [DIRECT], UUID [3622129-1458727723-224] [23/03/2016 at 10:08:00]"/>
  </r>
  <r>
    <s v="3622120-1458727716-187"/>
    <s v="Spot"/>
    <s v="3622120-1458727716-187"/>
    <n v="0"/>
    <d v="2016-03-31T00:00:00"/>
    <x v="2415"/>
    <s v="187"/>
    <s v="SELL"/>
    <n v="9.9423440453686194"/>
    <x v="0"/>
    <x v="1"/>
    <n v="105.19"/>
    <s v="Deal"/>
    <m/>
    <s v="Original Amount [EUR 10.58], Merchant Amount [EUR 10.58], Customer Amount [NOK 105.19], Status [APPROVED], Operation [DIRECT], UUID [3622120-1458727716-187] [23/03/2016 at 10:08:00]"/>
  </r>
  <r>
    <s v="3622114-1458727709-119"/>
    <s v="Spot"/>
    <s v="3622114-1458727709-119"/>
    <n v="0"/>
    <d v="2016-03-31T00:00:00"/>
    <x v="2416"/>
    <s v="119"/>
    <s v="SELL"/>
    <n v="9.9418000000000006"/>
    <x v="0"/>
    <x v="1"/>
    <n v="1491.27"/>
    <s v="Deal"/>
    <m/>
    <s v="Original Amount [EUR 150], Merchant Amount [EUR 150], Customer Amount [NOK 1491.27], Status [APPROVED], Operation [DIRECT], UUID [3622114-1458727709-119] [23/03/2016 at 10:08:00]"/>
  </r>
  <r>
    <s v="3622111-1458727702-134"/>
    <s v="Spot"/>
    <s v="3622111-1458727702-134"/>
    <n v="0"/>
    <d v="2016-03-31T00:00:00"/>
    <x v="2417"/>
    <s v="134"/>
    <s v="SELL"/>
    <n v="132.8324289173917"/>
    <x v="0"/>
    <x v="3"/>
    <n v="59237.95"/>
    <s v="Deal"/>
    <m/>
    <s v="Original Amount [EUR 445.96], Merchant Amount [EUR 445.96], Customer Amount [JPY 59237.95], Status [APPROVED], Operation [STORED], UUID [3622111-1458727702-134] [23/03/2016 at 10:08:00]"/>
  </r>
  <r>
    <s v="3622102-1458727698-82"/>
    <s v="Spot"/>
    <s v="3622102-1458727698-82"/>
    <n v="0"/>
    <d v="2016-03-31T00:00:00"/>
    <x v="2418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102-1458727698-82] [23/03/2016 at 10:08:00]"/>
  </r>
  <r>
    <s v="3622099-1458727692-261"/>
    <s v="Spot"/>
    <s v="3622099-1458727692-261"/>
    <n v="0"/>
    <d v="2016-03-31T00:00:00"/>
    <x v="2419"/>
    <s v="261"/>
    <s v="SELL"/>
    <n v="9.9418582912693942"/>
    <x v="0"/>
    <x v="1"/>
    <n v="531.79"/>
    <s v="Deal"/>
    <m/>
    <s v="Original Amount [EUR 53.49], Merchant Amount [EUR 53.49], Customer Amount [NOK 531.79], Status [APPROVED], Operation [DIRECT], UUID [3622099-1458727692-261] [23/03/2016 at 10:08:00]"/>
  </r>
  <r>
    <s v="3622081-1458727678-82"/>
    <s v="Spot"/>
    <s v="3622081-1458727678-82"/>
    <n v="0"/>
    <d v="2016-03-31T00:00:00"/>
    <x v="2420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81-1458727678-82] [23/03/2016 at 10:07:00]"/>
  </r>
  <r>
    <s v="3622078-1458727673-216"/>
    <s v="Spot"/>
    <s v="3622078-1458727673-216"/>
    <n v="0"/>
    <d v="2016-03-31T00:00:00"/>
    <x v="2421"/>
    <s v="216"/>
    <s v="SELL"/>
    <n v="3.3921028466483008"/>
    <x v="0"/>
    <x v="0"/>
    <n v="36.94"/>
    <s v="Deal"/>
    <m/>
    <s v="Original Amount [EUR 10.89], Merchant Amount [EUR 10.89], Customer Amount [TRY 36.94], Status [WAITING], Operation [3D], UUID [3622078-1458727673-216] [23/03/2016 at 10:07:00]"/>
  </r>
  <r>
    <s v="3622075-1458727669-82"/>
    <s v="Spot"/>
    <s v="3622075-1458727669-82"/>
    <n v="0"/>
    <d v="2016-03-31T00:00:00"/>
    <x v="2422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STORED], UUID [3622075-1458727669-82] [23/03/2016 at 10:07:00]"/>
  </r>
  <r>
    <s v="3622108-1458727701-216"/>
    <s v="Spot"/>
    <s v="3622108-1458727701-216"/>
    <n v="0"/>
    <d v="2016-03-31T00:00:00"/>
    <x v="2423"/>
    <s v="216"/>
    <s v="SELL"/>
    <n v="3.3919845692241752"/>
    <x v="0"/>
    <x v="0"/>
    <n v="474.81"/>
    <s v="Deal"/>
    <m/>
    <s v="Original Amount [EUR 139.98], Merchant Amount [EUR 139.98], Customer Amount [TRY 474.81], Status [APPROVED], Operation [3DAUTH], UUID [3622108-1458727701-216] [23/03/2016 at 10:08:00]"/>
  </r>
  <r>
    <s v="3622084-1458727681-56"/>
    <s v="Spot"/>
    <s v="3622084-1458727681-56"/>
    <n v="0"/>
    <d v="2016-03-31T00:00:00"/>
    <x v="2424"/>
    <s v="56"/>
    <s v="SELL"/>
    <n v="3.3919793014230266"/>
    <x v="0"/>
    <x v="0"/>
    <n v="26.22"/>
    <s v="Deal"/>
    <m/>
    <s v="Original Amount [EUR 7.73], Merchant Amount [EUR 7.73], Customer Amount [TRY 26.22], Status [APPROVED], Operation [3DAUTH], UUID [3622084-1458727681-56] [23/03/2016 at 10:08:00]"/>
  </r>
  <r>
    <s v="3622087-1458727681-56"/>
    <s v="Spot"/>
    <s v="3622087-1458727681-56"/>
    <n v="0"/>
    <d v="2016-03-31T00:00:00"/>
    <x v="242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87-1458727681-56] [23/03/2016 at 10:08:00]"/>
  </r>
  <r>
    <s v="3622117-1458727711-216"/>
    <s v="Spot"/>
    <s v="3622117-1458727711-216"/>
    <n v="0"/>
    <d v="2016-03-31T00:00:00"/>
    <x v="2426"/>
    <s v="216"/>
    <s v="SELL"/>
    <n v="3.3922829581993565"/>
    <x v="0"/>
    <x v="0"/>
    <n v="73.849999999999994"/>
    <s v="Deal"/>
    <m/>
    <s v="Original Amount [EUR 21.77], Merchant Amount [EUR 21.77], Customer Amount [TRY 73.85], Status [APPROVED], Operation [3DAUTH], UUID [3622117-1458727711-216] [23/03/2016 at 10:08:00]"/>
  </r>
  <r>
    <s v="3622048-1458727622-82"/>
    <s v="Spot"/>
    <s v="3622048-1458727622-82"/>
    <n v="0"/>
    <d v="2016-03-31T00:00:00"/>
    <x v="2427"/>
    <s v="82"/>
    <s v="SELL"/>
    <n v="0.83566433566433562"/>
    <x v="0"/>
    <x v="4"/>
    <n v="11.95"/>
    <s v="Deal"/>
    <m/>
    <s v="Original Amount [GBP 11.95], Merchant Amount [EUR 14.3], Customer Amount [GBP 11.95], Status [APPROVED], Operation [DIRECT], UUID [3622048-1458727622-82] [23/03/2016 at 10:07:00]"/>
  </r>
  <r>
    <s v="3622045-1458727620-82"/>
    <s v="Spot"/>
    <s v="3622045-1458727620-82"/>
    <n v="0"/>
    <d v="2016-03-31T00:00:00"/>
    <x v="2428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2045-1458727620-82] [23/03/2016 at 10:07:00]"/>
  </r>
  <r>
    <s v="3622039-1458727620-119"/>
    <s v="Spot"/>
    <s v="3622039-1458727620-119"/>
    <n v="0"/>
    <d v="2016-03-31T00:00:00"/>
    <x v="2429"/>
    <s v="119"/>
    <s v="SELL"/>
    <n v="9.9417999999999989"/>
    <x v="0"/>
    <x v="1"/>
    <n v="1988.36"/>
    <s v="Deal"/>
    <m/>
    <s v="Original Amount [EUR 200], Merchant Amount [EUR 200], Customer Amount [NOK 1988.36], Status [APPROVED], Operation [DIRECT], UUID [3622039-1458727620-119] [23/03/2016 at 10:07:00]"/>
  </r>
  <r>
    <s v="3622027-1458727603-216"/>
    <s v="Spot"/>
    <s v="3622027-1458727603-216"/>
    <n v="0"/>
    <d v="2016-03-31T00:00:00"/>
    <x v="2430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2027-1458727603-216] [23/03/2016 at 10:06:00]"/>
  </r>
  <r>
    <s v="3622018-1458727594-125"/>
    <s v="Spot"/>
    <s v="3622018-1458727594-125"/>
    <n v="0"/>
    <d v="2016-03-31T00:00:00"/>
    <x v="2431"/>
    <s v="125"/>
    <s v="SELL"/>
    <n v="132.832425"/>
    <x v="0"/>
    <x v="3"/>
    <n v="53132.97"/>
    <s v="Deal"/>
    <m/>
    <s v="Original Amount [EUR 400], Merchant Amount [EUR 400], Customer Amount [JPY 53132.97], Status [APPROVED], Operation [DIRECT], UUID [3622018-1458727594-125] [23/03/2016 at 10:06:00]"/>
  </r>
  <r>
    <s v="3622012-1458727585-126"/>
    <s v="Spot"/>
    <s v="3622012-1458727585-126"/>
    <n v="0"/>
    <d v="2016-03-31T00:00:00"/>
    <x v="2432"/>
    <s v="126"/>
    <s v="SELL"/>
    <n v="9.942439024390243"/>
    <x v="0"/>
    <x v="1"/>
    <n v="101.91"/>
    <s v="Deal"/>
    <m/>
    <s v="Original Amount [EUR 10.25], Merchant Amount [EUR 10.25], Customer Amount [NOK 101.91], Status [APPROVED], Operation [DIRECT], UUID [3622012-1458727585-126] [23/03/2016 at 10:06:00]"/>
  </r>
  <r>
    <s v="3622036-1458727609-216"/>
    <s v="Spot"/>
    <s v="3622036-1458727609-216"/>
    <n v="0"/>
    <d v="2016-03-31T00:00:00"/>
    <x v="2433"/>
    <s v="216"/>
    <s v="SELL"/>
    <n v="3.3920591544767724"/>
    <x v="0"/>
    <x v="0"/>
    <n v="211.02"/>
    <s v="Deal"/>
    <m/>
    <s v="Original Amount [EUR 62.21], Merchant Amount [EUR 62.21], Customer Amount [TRY 211.02], Status [APPROVED], Operation [3DAUTH], UUID [3622036-1458727609-216] [23/03/2016 at 10:06:00]"/>
  </r>
  <r>
    <s v="3621988-1458727572-82"/>
    <s v="Spot"/>
    <s v="3621988-1458727572-82"/>
    <n v="0"/>
    <d v="2016-03-31T00:00:00"/>
    <x v="2434"/>
    <s v="82"/>
    <s v="SELL"/>
    <n v="0.83543240973971444"/>
    <x v="0"/>
    <x v="4"/>
    <n v="9.9499999999999993"/>
    <s v="Deal"/>
    <m/>
    <s v="Original Amount [GBP 9.95], Merchant Amount [EUR 11.91], Customer Amount [GBP 9.95], Status [APPROVED], Operation [DIRECT], UUID [3621988-1458727572-82] [23/03/2016 at 10:06:00]"/>
  </r>
  <r>
    <s v="3621982-1458727558-199"/>
    <s v="Spot"/>
    <s v="3621982-1458727558-199"/>
    <n v="0"/>
    <d v="2016-03-31T00:00:00"/>
    <x v="2435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982-1458727558-199] [23/03/2016 at 10:05:00]"/>
  </r>
  <r>
    <s v="3621979-1458727557-216"/>
    <s v="Spot"/>
    <s v="3621979-1458727557-216"/>
    <n v="0"/>
    <d v="2016-03-31T00:00:00"/>
    <x v="2436"/>
    <s v="216"/>
    <s v="SELL"/>
    <n v="3.3927019982623805"/>
    <x v="0"/>
    <x v="0"/>
    <n v="39.049999999999997"/>
    <s v="Deal"/>
    <m/>
    <s v="Original Amount [EUR 11.51], Merchant Amount [EUR 11.51], Customer Amount [TRY 39.05], Status [WAITING], Operation [3D], UUID [3621979-1458727557-216] [23/03/2016 at 10:05:00]"/>
  </r>
  <r>
    <s v="3621976-1458727551-224"/>
    <s v="Spot"/>
    <s v="3621976-1458727551-224"/>
    <n v="0"/>
    <d v="2016-03-31T00:00:00"/>
    <x v="2437"/>
    <s v="224"/>
    <s v="SELL"/>
    <n v="9.9414483821263477"/>
    <x v="0"/>
    <x v="1"/>
    <n v="129.04"/>
    <s v="Deal"/>
    <m/>
    <s v="Original Amount [EUR 12.98], Merchant Amount [EUR 12.98], Customer Amount [NOK 129.04], Status [APPROVED], Operation [DIRECT], UUID [3621976-1458727551-224] [23/03/2016 at 10:05:00]"/>
  </r>
  <r>
    <s v="3621973-1458727544-187"/>
    <s v="Spot"/>
    <s v="3621973-1458727544-187"/>
    <n v="0"/>
    <d v="2016-03-31T00:00:00"/>
    <x v="2438"/>
    <s v="187"/>
    <s v="SELL"/>
    <n v="9.9413988657844996"/>
    <x v="0"/>
    <x v="1"/>
    <n v="210.36"/>
    <s v="Deal"/>
    <m/>
    <s v="Original Amount [EUR 21.16], Merchant Amount [EUR 21.16], Customer Amount [NOK 210.36], Status [APPROVED], Operation [DIRECT], UUID [3621973-1458727544-187] [23/03/2016 at 10:05:00]"/>
  </r>
  <r>
    <s v="3621964-1458727529-82"/>
    <s v="Spot"/>
    <s v="3621964-1458727529-82"/>
    <n v="0"/>
    <d v="2016-03-31T00:00:00"/>
    <x v="2439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64-1458727529-82] [23/03/2016 at 10:05:00]"/>
  </r>
  <r>
    <s v="3621961-1458727527-119"/>
    <s v="Spot"/>
    <s v="3621961-1458727527-119"/>
    <n v="0"/>
    <d v="2016-03-31T00:00:00"/>
    <x v="2440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961-1458727527-119] [23/03/2016 at 10:05:00]"/>
  </r>
  <r>
    <s v="3621958-1458727525-216"/>
    <s v="Spot"/>
    <s v="3621958-1458727525-216"/>
    <n v="0"/>
    <d v="2016-03-31T00:00:00"/>
    <x v="2441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58-1458727525-216] [23/03/2016 at 10:05:00]"/>
  </r>
  <r>
    <s v="3621955-1458727521-224"/>
    <s v="Spot"/>
    <s v="3621955-1458727521-224"/>
    <n v="0"/>
    <d v="2016-03-31T00:00:00"/>
    <x v="2442"/>
    <s v="224"/>
    <s v="SELL"/>
    <n v="132.99341924869756"/>
    <x v="0"/>
    <x v="3"/>
    <n v="4850.2700000000004"/>
    <s v="Deal"/>
    <m/>
    <s v="Original Amount [EUR 36.47], Merchant Amount [EUR 36.47], Customer Amount [JPY 4850.27], Status [APPROVED], Operation [DIRECT], UUID [3621955-1458727521-224] [23/03/2016 at 10:05:00]"/>
  </r>
  <r>
    <s v="3621952-1458727519-200"/>
    <s v="Spot"/>
    <s v="3621952-1458727519-200"/>
    <n v="0"/>
    <d v="2016-03-31T00:00:00"/>
    <x v="2443"/>
    <s v="200"/>
    <s v="SELL"/>
    <n v="9.9411442649876811"/>
    <x v="0"/>
    <x v="1"/>
    <n v="1089.45"/>
    <s v="Deal"/>
    <m/>
    <s v="Original Amount [EUR 109.59], Merchant Amount [EUR 109.59], Customer Amount [NOK 1089.45], Status [APPROVED], Operation [STORED], UUID [3621952-1458727519-200] [23/03/2016 at 10:05:00]"/>
  </r>
  <r>
    <s v="3621970-1458727543-216"/>
    <s v="Spot"/>
    <s v="3621970-1458727543-216"/>
    <n v="0"/>
    <d v="2016-03-31T00:00:00"/>
    <x v="2444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70-1458727543-216] [23/03/2016 at 10:05:00]"/>
  </r>
  <r>
    <s v="3622009-1458727582-56"/>
    <s v="Spot"/>
    <s v="3622009-1458727582-56"/>
    <n v="0"/>
    <d v="2016-03-31T00:00:00"/>
    <x v="2445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2009-1458727582-56] [23/03/2016 at 10:06:00]"/>
  </r>
  <r>
    <s v="3621937-1458727510-82"/>
    <s v="Spot"/>
    <s v="3621937-1458727510-82"/>
    <n v="0"/>
    <d v="2016-03-31T00:00:00"/>
    <x v="2446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937-1458727510-82] [23/03/2016 at 10:05:00]"/>
  </r>
  <r>
    <s v="3621919-1458727474-119"/>
    <s v="Spot"/>
    <s v="3621919-1458727474-119"/>
    <n v="0"/>
    <d v="2016-03-31T00:00:00"/>
    <x v="2447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9-1458727474-119] [23/03/2016 at 10:04:00]"/>
  </r>
  <r>
    <s v="3621910-1458727467-119"/>
    <s v="Spot"/>
    <s v="3621910-1458727467-119"/>
    <n v="0"/>
    <d v="2016-03-31T00:00:00"/>
    <x v="2448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910-1458727467-119] [23/03/2016 at 10:04:00]"/>
  </r>
  <r>
    <s v="3621904-1458727466-216"/>
    <s v="Spot"/>
    <s v="3621904-1458727466-216"/>
    <n v="0"/>
    <d v="2016-03-31T00:00:00"/>
    <x v="2449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904-1458727466-216] [23/03/2016 at 10:04:00]"/>
  </r>
  <r>
    <s v="3621898-1458727460-224"/>
    <s v="Spot"/>
    <s v="3621898-1458727460-224"/>
    <n v="0"/>
    <d v="2016-03-31T00:00:00"/>
    <x v="2450"/>
    <s v="224"/>
    <s v="SELL"/>
    <n v="9.9413639260675595"/>
    <x v="0"/>
    <x v="1"/>
    <n v="155.97999999999999"/>
    <s v="Deal"/>
    <m/>
    <s v="Original Amount [EUR 15.69], Merchant Amount [EUR 15.69], Customer Amount [NOK 155.98], Status [APPROVED], Operation [DIRECT], UUID [3621898-1458727460-224] [23/03/2016 at 10:04:00]"/>
  </r>
  <r>
    <s v="3621892-1458727447-126"/>
    <s v="Spot"/>
    <s v="3621892-1458727447-126"/>
    <n v="0"/>
    <d v="2016-03-31T00:00:00"/>
    <x v="2451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1892-1458727447-126] [23/03/2016 at 10:04:00]"/>
  </r>
  <r>
    <s v="3621889-1458727447-224"/>
    <s v="Spot"/>
    <s v="3621889-1458727447-224"/>
    <n v="0"/>
    <d v="2016-03-31T00:00:00"/>
    <x v="2452"/>
    <s v="224"/>
    <s v="SELL"/>
    <n v="9.9413123844731981"/>
    <x v="0"/>
    <x v="1"/>
    <n v="215.13"/>
    <s v="Deal"/>
    <m/>
    <s v="Original Amount [EUR 21.64], Merchant Amount [EUR 21.64], Customer Amount [NOK 215.13], Status [APPROVED], Operation [DIRECT], UUID [3621889-1458727447-224] [23/03/2016 at 10:04:00]"/>
  </r>
  <r>
    <s v="3621913-1458727469-216"/>
    <s v="Spot"/>
    <s v="3621913-1458727469-216"/>
    <n v="0"/>
    <d v="2016-03-31T00:00:00"/>
    <x v="2453"/>
    <s v="216"/>
    <s v="SELL"/>
    <n v="3.3922829581993565"/>
    <x v="0"/>
    <x v="0"/>
    <n v="52.75"/>
    <s v="Deal"/>
    <m/>
    <s v="Original Amount [EUR 15.55], Merchant Amount [EUR 15.55], Customer Amount [TRY 52.75], Status [APPROVED], Operation [3DAUTH], UUID [3621913-1458727469-216] [23/03/2016 at 10:04:00]"/>
  </r>
  <r>
    <s v="3621901-1458727463-56"/>
    <s v="Spot"/>
    <s v="3621901-1458727463-56"/>
    <n v="0"/>
    <d v="2016-03-31T00:00:00"/>
    <x v="2454"/>
    <s v="56"/>
    <s v="SELL"/>
    <n v="3.3925000000000001"/>
    <x v="0"/>
    <x v="0"/>
    <n v="27.14"/>
    <s v="Deal"/>
    <m/>
    <s v="Original Amount [EUR 8], Merchant Amount [EUR 8], Customer Amount [TRY 27.14], Status [APPROVED], Operation [3DAUTH], UUID [3621901-1458727463-56] [23/03/2016 at 10:04:00]"/>
  </r>
  <r>
    <s v="3621877-1458727434-82"/>
    <s v="Spot"/>
    <s v="3621877-1458727434-82"/>
    <n v="0"/>
    <d v="2016-03-31T00:00:00"/>
    <x v="2455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77-1458727434-82] [23/03/2016 at 10:03:00]"/>
  </r>
  <r>
    <s v="3621871-1458727423-216"/>
    <s v="Spot"/>
    <s v="3621871-1458727423-216"/>
    <n v="0"/>
    <d v="2016-03-31T00:00:00"/>
    <x v="2456"/>
    <s v="216"/>
    <s v="SELL"/>
    <n v="3.3921428571428573"/>
    <x v="0"/>
    <x v="0"/>
    <n v="47.49"/>
    <s v="Deal"/>
    <m/>
    <s v="Original Amount [EUR 14], Merchant Amount [EUR 14], Customer Amount [TRY 47.49], Status [APPROVED], Operation [3DAUTH], UUID [3621871-1458727423-216] [23/03/2016 at 10:03:00]"/>
  </r>
  <r>
    <s v="3621859-1458727398-216"/>
    <s v="Spot"/>
    <s v="3621859-1458727398-216"/>
    <n v="0"/>
    <d v="2016-03-31T00:00:00"/>
    <x v="2457"/>
    <s v="216"/>
    <s v="SELL"/>
    <n v="3.392156862745098"/>
    <x v="0"/>
    <x v="0"/>
    <n v="105.53"/>
    <s v="Deal"/>
    <m/>
    <s v="Original Amount [EUR 31.11], Merchant Amount [EUR 31.11], Customer Amount [TRY 105.53], Status [WAITING], Operation [3D], UUID [3621859-1458727398-216] [23/03/2016 at 10:03:00]"/>
  </r>
  <r>
    <s v="3621856-1458727395-199"/>
    <s v="Spot"/>
    <s v="3621856-1458727395-199"/>
    <n v="0"/>
    <d v="2016-03-31T00:00:00"/>
    <x v="2458"/>
    <s v="199"/>
    <s v="SELL"/>
    <n v="9.9413881748071997"/>
    <x v="0"/>
    <x v="1"/>
    <n v="193.36"/>
    <s v="Deal"/>
    <m/>
    <s v="Original Amount [EUR 19.45], Merchant Amount [EUR 19.45], Customer Amount [NOK 193.36], Status [APPROVED], Operation [DIRECT], UUID [3621856-1458727395-199] [23/03/2016 at 10:03:00]"/>
  </r>
  <r>
    <s v="3621835-1458727369-224"/>
    <s v="Spot"/>
    <s v="3621835-1458727369-224"/>
    <n v="0"/>
    <d v="2016-03-31T00:00:00"/>
    <x v="2459"/>
    <s v="224"/>
    <s v="SELL"/>
    <n v="9.9414664202094887"/>
    <x v="0"/>
    <x v="1"/>
    <n v="161.35"/>
    <s v="Deal"/>
    <m/>
    <s v="Original Amount [EUR 16.23], Merchant Amount [EUR 16.23], Customer Amount [NOK 161.35], Status [APPROVED], Operation [DIRECT], UUID [3621835-1458727369-224] [23/03/2016 at 10:02:00]"/>
  </r>
  <r>
    <s v="3621832-1458727366-200"/>
    <s v="Spot"/>
    <s v="3621832-1458727366-200"/>
    <n v="0"/>
    <d v="2016-03-31T00:00:00"/>
    <x v="2460"/>
    <s v="200"/>
    <s v="SELL"/>
    <n v="9.9410925518635214"/>
    <x v="0"/>
    <x v="1"/>
    <n v="1672.39"/>
    <s v="Deal"/>
    <m/>
    <s v="Original Amount [EUR 168.23], Merchant Amount [EUR 168.23], Customer Amount [NOK 1672.39], Status [APPROVED], Operation [STORED], UUID [3621832-1458727366-200] [23/03/2016 at 10:02:00]"/>
  </r>
  <r>
    <s v="3621829-1458727366-107"/>
    <s v="Spot"/>
    <s v="3621829-1458727366-107"/>
    <n v="0"/>
    <d v="2016-03-31T00:00:00"/>
    <x v="2461"/>
    <s v="107"/>
    <s v="SELL"/>
    <n v="3.3972602739726026"/>
    <x v="0"/>
    <x v="0"/>
    <n v="34.72"/>
    <s v="Deal"/>
    <m/>
    <s v="Original Amount [EUR 10.22], Merchant Amount [EUR 10.22], Customer Amount [TRY 34.72], Status [WAITING], Operation [3D], UUID [3621829-1458727366-107] [23/03/2016 at 10:02:00]"/>
  </r>
  <r>
    <s v="3621826-1458727365-119"/>
    <s v="Spot"/>
    <s v="3621826-1458727365-119"/>
    <n v="0"/>
    <d v="2016-03-31T00:00:00"/>
    <x v="2462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826-1458727365-119] [23/03/2016 at 10:02:00]"/>
  </r>
  <r>
    <s v="3621823-1458727362-199"/>
    <s v="Spot"/>
    <s v="3621823-1458727362-199"/>
    <n v="0"/>
    <d v="2016-03-31T00:00:00"/>
    <x v="246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823-1458727362-199] [23/03/2016 at 10:02:00]"/>
  </r>
  <r>
    <s v="3621820-1458727358-82"/>
    <s v="Spot"/>
    <s v="3621820-1458727358-82"/>
    <n v="0"/>
    <d v="2016-03-31T00:00:00"/>
    <x v="2464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820-1458727358-82] [23/03/2016 at 10:02:00]"/>
  </r>
  <r>
    <s v="3621811-1458727343-124"/>
    <s v="Spot"/>
    <s v="3621811-1458727343-124"/>
    <n v="0"/>
    <d v="2016-03-31T00:00:00"/>
    <x v="2465"/>
    <s v="124"/>
    <s v="SELL"/>
    <n v="9.9411147265666013"/>
    <x v="0"/>
    <x v="1"/>
    <n v="947.09"/>
    <s v="Deal"/>
    <m/>
    <s v="Original Amount [EUR 95.27], Merchant Amount [EUR 95.27], Customer Amount [NOK 947.09], Status [APPROVED], Operation [DIRECT], UUID [3621811-1458727343-124] [23/03/2016 at 10:02:00]"/>
  </r>
  <r>
    <s v="3621805-1458727340-145"/>
    <s v="Spot"/>
    <s v="3621805-1458727340-145"/>
    <n v="0"/>
    <d v="2016-03-31T00:00:00"/>
    <x v="2466"/>
    <s v="145"/>
    <s v="SELL"/>
    <n v="1.546875"/>
    <x v="0"/>
    <x v="2"/>
    <n v="15.84"/>
    <s v="Deal"/>
    <m/>
    <s v="Original Amount [EUR 10.24], Merchant Amount [EUR 10.24], Customer Amount [CAD 15.84], Status [APPROVED], Operation [DIRECT], UUID [3621805-1458727340-145] [23/03/2016 at 10:02:00]"/>
  </r>
  <r>
    <s v="3621802-1458727336-224"/>
    <s v="Spot"/>
    <s v="3621802-1458727336-224"/>
    <n v="0"/>
    <d v="2016-03-31T00:00:00"/>
    <x v="2467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802-1458727336-224] [23/03/2016 at 10:02:00]"/>
  </r>
  <r>
    <s v="3621799-1458727336-82"/>
    <s v="Spot"/>
    <s v="3621799-1458727336-82"/>
    <n v="0"/>
    <d v="2016-03-31T00:00:00"/>
    <x v="2468"/>
    <s v="82"/>
    <s v="SELL"/>
    <n v="0.83508036338225011"/>
    <x v="0"/>
    <x v="4"/>
    <n v="11.95"/>
    <s v="Deal"/>
    <m/>
    <s v="Original Amount [GBP 11.95], Merchant Amount [EUR 14.31], Customer Amount [GBP 11.95], Status [APPROVED], Operation [DIRECT], UUID [3621799-1458727336-82] [23/03/2016 at 10:02:00]"/>
  </r>
  <r>
    <s v="3621796-1458727332-224"/>
    <s v="Spot"/>
    <s v="3621796-1458727332-224"/>
    <n v="0"/>
    <d v="2016-03-31T00:00:00"/>
    <x v="2469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1796-1458727332-224] [23/03/2016 at 10:02:00]"/>
  </r>
  <r>
    <s v="3621814-1458727347-216"/>
    <s v="Spot"/>
    <s v="3621814-1458727347-216"/>
    <n v="0"/>
    <d v="2016-03-31T00:00:00"/>
    <x v="2470"/>
    <s v="216"/>
    <s v="SELL"/>
    <n v="3.3970567223889128"/>
    <x v="0"/>
    <x v="0"/>
    <n v="237.76"/>
    <s v="Deal"/>
    <m/>
    <s v="Original Amount [EUR 69.99], Merchant Amount [EUR 69.99], Customer Amount [TRY 237.76], Status [APPROVED], Operation [3DAUTH], UUID [3621814-1458727347-216] [23/03/2016 at 10:02:00]"/>
  </r>
  <r>
    <s v="3621790-1458727323-119"/>
    <s v="Spot"/>
    <s v="3621790-1458727323-119"/>
    <n v="0"/>
    <d v="2016-03-31T00:00:00"/>
    <x v="2471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90-1458727323-119] [23/03/2016 at 10:02:00]"/>
  </r>
  <r>
    <s v="3621850-1458727385-107"/>
    <s v="Spot"/>
    <s v="3621850-1458727385-107"/>
    <n v="0"/>
    <d v="2016-03-31T00:00:00"/>
    <x v="2472"/>
    <s v="107"/>
    <s v="SELL"/>
    <n v="3.3972194637537241"/>
    <x v="0"/>
    <x v="0"/>
    <n v="68.42"/>
    <s v="Deal"/>
    <m/>
    <s v="Original Amount [EUR 20.14], Merchant Amount [EUR 20.14], Customer Amount [TRY 68.42], Status [APPROVED], Operation [3DAUTH], UUID [3621850-1458727385-107] [23/03/2016 at 10:03:00]"/>
  </r>
  <r>
    <s v="3621778-1458727312-224"/>
    <s v="Spot"/>
    <s v="3621778-1458727312-224"/>
    <n v="0"/>
    <d v="2016-03-31T00:00:00"/>
    <x v="2473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78-1458727312-224] [23/03/2016 at 10:01:00]"/>
  </r>
  <r>
    <s v="3621763-1458727257-216"/>
    <s v="Spot"/>
    <s v="3621763-1458727257-216"/>
    <n v="0"/>
    <d v="2016-03-31T00:00:00"/>
    <x v="2474"/>
    <s v="216"/>
    <s v="SELL"/>
    <n v="3.3970149253731345"/>
    <x v="0"/>
    <x v="0"/>
    <n v="147.94"/>
    <s v="Deal"/>
    <m/>
    <s v="Original Amount [EUR 43.55], Merchant Amount [EUR 43.55], Customer Amount [TRY 147.94], Status [APPROVED], Operation [3DAUTH], UUID [3621763-1458727257-216] [23/03/2016 at 10:00:00]"/>
  </r>
  <r>
    <s v="3621748-1458727225-119"/>
    <s v="Spot"/>
    <s v="3621748-1458727225-119"/>
    <n v="0"/>
    <d v="2016-03-31T00:00:00"/>
    <x v="2475"/>
    <s v="119"/>
    <s v="SELL"/>
    <n v="9.9411000000000005"/>
    <x v="0"/>
    <x v="1"/>
    <n v="994.11"/>
    <s v="Deal"/>
    <m/>
    <s v="Original Amount [EUR 100], Merchant Amount [EUR 100], Customer Amount [NOK 994.11], Status [APPROVED], Operation [DIRECT], UUID [3621748-1458727225-119] [23/03/2016 at 10:00:00]"/>
  </r>
  <r>
    <s v="3621733-1458727185-224"/>
    <s v="Spot"/>
    <s v="3621733-1458727185-224"/>
    <n v="0"/>
    <d v="2016-03-31T00:00:00"/>
    <x v="2476"/>
    <s v="224"/>
    <s v="SELL"/>
    <n v="9.9411764705882355"/>
    <x v="0"/>
    <x v="1"/>
    <n v="322.79000000000002"/>
    <s v="Deal"/>
    <m/>
    <s v="Original Amount [EUR 32.47], Merchant Amount [EUR 32.47], Customer Amount [NOK 322.79], Status [APPROVED], Operation [DIRECT], UUID [3621733-1458727185-224] [23/03/2016 at 09:59:00]"/>
  </r>
  <r>
    <s v="3621754-1458727228-216"/>
    <s v="Spot"/>
    <s v="3621754-1458727228-216"/>
    <n v="0"/>
    <d v="2016-03-31T00:00:00"/>
    <x v="2477"/>
    <s v="216"/>
    <s v="SELL"/>
    <n v="3.3978149100257067"/>
    <x v="0"/>
    <x v="0"/>
    <n v="52.87"/>
    <s v="Deal"/>
    <m/>
    <s v="Original Amount [EUR 15.56], Merchant Amount [EUR 15.56], Customer Amount [TRY 52.87], Status [APPROVED], Operation [3DAUTH], UUID [3621754-1458727228-216] [23/03/2016 at 10:00:00]"/>
  </r>
  <r>
    <s v="3621727-1458727181-126"/>
    <s v="Spot"/>
    <s v="3621727-1458727181-126"/>
    <n v="0"/>
    <d v="2016-03-31T00:00:00"/>
    <x v="2478"/>
    <s v="126"/>
    <s v="SELL"/>
    <n v="9.9410731707317073"/>
    <x v="0"/>
    <x v="1"/>
    <n v="1018.96"/>
    <s v="Deal"/>
    <m/>
    <s v="Original Amount [EUR 102.5], Merchant Amount [EUR 102.5], Customer Amount [NOK 1018.96], Status [WAITING], Operation [3D], UUID [3621727-1458727181-126] [23/03/2016 at 09:59:00]"/>
  </r>
  <r>
    <s v="3621724-1458727175-119"/>
    <s v="Spot"/>
    <s v="3621724-1458727175-119"/>
    <n v="0"/>
    <d v="2016-03-31T00:00:00"/>
    <x v="247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724-1458727175-119] [23/03/2016 at 09:59:00]"/>
  </r>
  <r>
    <s v="3621742-1458727201-126"/>
    <s v="Spot"/>
    <s v="3621742-1458727201-126"/>
    <n v="0"/>
    <d v="2016-03-31T00:00:00"/>
    <x v="2480"/>
    <s v="126"/>
    <s v="SELL"/>
    <n v="9.9414634146341463"/>
    <x v="0"/>
    <x v="1"/>
    <n v="203.8"/>
    <s v="Deal"/>
    <m/>
    <s v="Original Amount [EUR 20.5], Merchant Amount [EUR 20.5], Customer Amount [NOK 203.8], Status [APPROVED], Operation [3DAUTH], UUID [3621742-1458727201-126] [23/03/2016 at 10:00:00]"/>
  </r>
  <r>
    <s v="3621721-1458727174-216"/>
    <s v="Spot"/>
    <s v="3621721-1458727174-216"/>
    <n v="0"/>
    <d v="2016-03-31T00:00:00"/>
    <x v="248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721-1458727174-216] [23/03/2016 at 09:59:00]"/>
  </r>
  <r>
    <s v="3621709-1458727138-224"/>
    <s v="Spot"/>
    <s v="3621709-1458727138-224"/>
    <n v="0"/>
    <d v="2016-03-31T00:00:00"/>
    <x v="2482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709-1458727138-224] [23/03/2016 at 09:58:00]"/>
  </r>
  <r>
    <s v="3621706-1458727138-224"/>
    <s v="Spot"/>
    <s v="3621706-1458727138-224"/>
    <n v="0"/>
    <d v="2016-03-31T00:00:00"/>
    <x v="2483"/>
    <s v="224"/>
    <s v="SELL"/>
    <n v="9.9411764705882355"/>
    <x v="0"/>
    <x v="1"/>
    <n v="645.58000000000004"/>
    <s v="Deal"/>
    <m/>
    <s v="Original Amount [EUR 64.94], Merchant Amount [EUR 64.94], Customer Amount [NOK 645.58], Status [APPROVED], Operation [DIRECT], UUID [3621706-1458727138-224] [23/03/2016 at 09:58:00]"/>
  </r>
  <r>
    <s v="3621745-1458727203-126"/>
    <s v="Spot"/>
    <s v="3621745-1458727203-126"/>
    <n v="0"/>
    <d v="2016-03-31T00:00:00"/>
    <x v="2484"/>
    <s v="126"/>
    <s v="SELL"/>
    <n v="9.9410846664065549"/>
    <x v="0"/>
    <x v="1"/>
    <n v="254.79"/>
    <s v="Deal"/>
    <m/>
    <s v="Original Amount [EUR 25.63], Merchant Amount [EUR 25.63], Customer Amount [NOK 254.79], Status [APPROVED], Operation [3DAUTH], UUID [3621745-1458727203-126] [23/03/2016 at 10:00:00]"/>
  </r>
  <r>
    <s v="3621715-1458727168-101"/>
    <s v="Spot"/>
    <s v="3621715-1458727168-101"/>
    <n v="0"/>
    <d v="2016-03-31T00:00:00"/>
    <x v="2485"/>
    <s v="101"/>
    <s v="SELL"/>
    <n v="3.3973558575100995"/>
    <x v="0"/>
    <x v="0"/>
    <n v="92.51"/>
    <s v="Deal"/>
    <m/>
    <s v="Original Amount [EUR 27.23], Merchant Amount [EUR 27.23], Customer Amount [TRY 92.51], Status [APPROVED], Operation [3DAUTH], UUID [3621715-1458727168-101] [23/03/2016 at 09:59:00]"/>
  </r>
  <r>
    <s v="3621691-1458727103-119"/>
    <s v="Spot"/>
    <s v="3621691-1458727103-119"/>
    <n v="0"/>
    <d v="2016-03-31T00:00:00"/>
    <x v="2486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691-1458727103-119] [23/03/2016 at 09:58:00]"/>
  </r>
  <r>
    <s v="3621682-1458727091-126"/>
    <s v="Spot"/>
    <s v="3621682-1458727091-126"/>
    <n v="0"/>
    <d v="2016-03-31T00:00:00"/>
    <x v="2487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682-1458727091-126] [23/03/2016 at 09:58:00]"/>
  </r>
  <r>
    <s v="3621700-1458727127-56"/>
    <s v="Spot"/>
    <s v="3621700-1458727127-56"/>
    <n v="0"/>
    <d v="2016-03-31T00:00:00"/>
    <x v="2488"/>
    <s v="56"/>
    <s v="SELL"/>
    <n v="3.3974399000936617"/>
    <x v="0"/>
    <x v="0"/>
    <n v="108.82"/>
    <s v="Deal"/>
    <m/>
    <s v="Original Amount [EUR 32.03], Merchant Amount [EUR 32.03], Customer Amount [TRY 108.82], Status [APPROVED], Operation [3DAUTH], UUID [3621700-1458727127-56] [23/03/2016 at 09:58:00]"/>
  </r>
  <r>
    <s v="3621676-1458727082-126"/>
    <s v="Spot"/>
    <s v="3621676-1458727082-126"/>
    <n v="0"/>
    <d v="2016-03-31T00:00:00"/>
    <x v="2489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1676-1458727082-126] [23/03/2016 at 09:58:00]"/>
  </r>
  <r>
    <s v="3621685-1458727096-216"/>
    <s v="Spot"/>
    <s v="3621685-1458727096-216"/>
    <n v="0"/>
    <d v="2016-03-31T00:00:00"/>
    <x v="2490"/>
    <s v="216"/>
    <s v="SELL"/>
    <n v="3.3978571428571427"/>
    <x v="0"/>
    <x v="0"/>
    <n v="47.57"/>
    <s v="Deal"/>
    <m/>
    <s v="Original Amount [EUR 14], Merchant Amount [EUR 14], Customer Amount [TRY 47.57], Status [APPROVED], Operation [3DAUTH], UUID [3621685-1458727096-216] [23/03/2016 at 09:58:00]"/>
  </r>
  <r>
    <s v="3621688-1458727098-101"/>
    <s v="Spot"/>
    <s v="3621688-1458727098-101"/>
    <n v="0"/>
    <d v="2016-03-31T00:00:00"/>
    <x v="2491"/>
    <s v="101"/>
    <s v="SELL"/>
    <n v="3.3974280465401105"/>
    <x v="0"/>
    <x v="0"/>
    <n v="55.48"/>
    <s v="Deal"/>
    <m/>
    <s v="Original Amount [EUR 16.33], Merchant Amount [EUR 16.33], Customer Amount [TRY 55.48], Status [APPROVED], Operation [3DAUTH], UUID [3621688-1458727098-101] [23/03/2016 at 09:58:00]"/>
  </r>
  <r>
    <s v="3621655-1458727039-107"/>
    <s v="Spot"/>
    <s v="3621655-1458727039-107"/>
    <n v="0"/>
    <d v="2016-03-31T00:00:00"/>
    <x v="2492"/>
    <s v="107"/>
    <s v="SELL"/>
    <n v="3.3976014760147599"/>
    <x v="0"/>
    <x v="0"/>
    <n v="36.83"/>
    <s v="Deal"/>
    <m/>
    <s v="Original Amount [EUR 10.84], Merchant Amount [EUR 10.84], Customer Amount [TRY 36.83], Status [APPROVED], Operation [3DAUTH], UUID [3621655-1458727039-107] [23/03/2016 at 09:57:00]"/>
  </r>
  <r>
    <s v="3621643-1458727017-126"/>
    <s v="Spot"/>
    <s v="3621643-1458727017-126"/>
    <n v="0"/>
    <d v="2016-03-31T00:00:00"/>
    <x v="2493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643-1458727017-126] [23/03/2016 at 09:56:00]"/>
  </r>
  <r>
    <s v="3621640-1458727016-224"/>
    <s v="Spot"/>
    <s v="3621640-1458727016-224"/>
    <n v="0"/>
    <d v="2016-03-31T00:00:00"/>
    <x v="2494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1640-1458727016-224] [23/03/2016 at 09:56:00]"/>
  </r>
  <r>
    <s v="3621625-1458726984-119"/>
    <s v="Spot"/>
    <s v="3621625-1458726984-119"/>
    <n v="0"/>
    <d v="2016-03-31T00:00:00"/>
    <x v="2495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625-1458726984-119] [23/03/2016 at 09:56:00]"/>
  </r>
  <r>
    <s v="3621601-1458726931-187"/>
    <s v="Spot"/>
    <s v="3621601-1458726931-187"/>
    <n v="0"/>
    <d v="2016-03-31T00:00:00"/>
    <x v="2496"/>
    <s v="187"/>
    <s v="SELL"/>
    <n v="9.9546313799621924"/>
    <x v="0"/>
    <x v="1"/>
    <n v="105.32"/>
    <s v="Deal"/>
    <m/>
    <s v="Original Amount [EUR 10.58], Merchant Amount [EUR 10.58], Customer Amount [NOK 105.32], Status [APPROVED], Operation [DIRECT], UUID [3621601-1458726931-187] [23/03/2016 at 09:55:00]"/>
  </r>
  <r>
    <s v="3621613-1458726957-216"/>
    <s v="Spot"/>
    <s v="3621613-1458726957-216"/>
    <n v="0"/>
    <d v="2016-03-31T00:00:00"/>
    <x v="2497"/>
    <s v="216"/>
    <s v="SELL"/>
    <n v="3.3970753655793029"/>
    <x v="0"/>
    <x v="0"/>
    <n v="211.4"/>
    <s v="Deal"/>
    <m/>
    <s v="Original Amount [EUR 62.23], Merchant Amount [EUR 62.23], Customer Amount [TRY 211.4], Status [APPROVED], Operation [3DAUTH], UUID [3621613-1458726957-216] [23/03/2016 at 09:55:00]"/>
  </r>
  <r>
    <s v="3621610-1458726947-264"/>
    <s v="Spot"/>
    <s v="3621610-1458726947-264"/>
    <n v="0"/>
    <d v="2016-03-31T00:00:00"/>
    <x v="2498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1610-1458726947-264] [23/03/2016 at 09:55:00]"/>
  </r>
  <r>
    <s v="3621589-1458726916-199"/>
    <s v="Spot"/>
    <s v="3621589-1458726916-199"/>
    <n v="0"/>
    <d v="2016-03-31T00:00:00"/>
    <x v="2499"/>
    <s v="199"/>
    <s v="SELL"/>
    <n v="9.9547128129602349"/>
    <x v="0"/>
    <x v="1"/>
    <n v="270.37"/>
    <s v="Deal"/>
    <m/>
    <s v="Original Amount [EUR 27.16], Merchant Amount [EUR 27.16], Customer Amount [NOK 270.37], Status [APPROVED], Operation [DIRECT], UUID [3621589-1458726916-199] [23/03/2016 at 09:55:00]"/>
  </r>
  <r>
    <s v="3621583-1458726903-125"/>
    <s v="Spot"/>
    <s v="3621583-1458726903-125"/>
    <n v="0"/>
    <d v="2016-03-31T00:00:00"/>
    <x v="2500"/>
    <s v="125"/>
    <s v="SELL"/>
    <n v="9.9550000000000001"/>
    <x v="0"/>
    <x v="1"/>
    <n v="99.55"/>
    <s v="Deal"/>
    <m/>
    <s v="Original Amount [EUR 10], Merchant Amount [EUR 10], Customer Amount [NOK 99.55], Status [APPROVED], Operation [DIRECT], UUID [3621583-1458726903-125] [23/03/2016 at 09:55:00]"/>
  </r>
  <r>
    <s v="3621580-1458726903-224"/>
    <s v="Spot"/>
    <s v="3621580-1458726903-224"/>
    <n v="0"/>
    <d v="2016-03-31T00:00:00"/>
    <x v="2501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1580-1458726903-224] [23/03/2016 at 09:55:00]"/>
  </r>
  <r>
    <s v="3621574-1458726896-216"/>
    <s v="Spot"/>
    <s v="3621574-1458726896-216"/>
    <n v="0"/>
    <d v="2016-03-31T00:00:00"/>
    <x v="2502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74-1458726896-216] [23/03/2016 at 09:54:00]"/>
  </r>
  <r>
    <s v="3621592-1458726925-56"/>
    <s v="Spot"/>
    <s v="3621592-1458726925-56"/>
    <n v="0"/>
    <d v="2016-03-31T00:00:00"/>
    <x v="2503"/>
    <s v="56"/>
    <s v="SELL"/>
    <n v="3.3975"/>
    <x v="0"/>
    <x v="0"/>
    <n v="27.18"/>
    <s v="Deal"/>
    <m/>
    <s v="Original Amount [EUR 8], Merchant Amount [EUR 8], Customer Amount [TRY 27.18], Status [APPROVED], Operation [3DAUTH], UUID [3621592-1458726925-56] [23/03/2016 at 09:55:00]"/>
  </r>
  <r>
    <s v="3621556-1458726880-107"/>
    <s v="Spot"/>
    <s v="3621556-1458726880-107"/>
    <n v="0"/>
    <d v="2016-03-31T00:00:00"/>
    <x v="2504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1556-1458726880-107] [23/03/2016 at 09:54:00]"/>
  </r>
  <r>
    <s v="3621553-1458726879-126"/>
    <s v="Spot"/>
    <s v="3621553-1458726879-126"/>
    <n v="0"/>
    <d v="2016-03-31T00:00:00"/>
    <x v="250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553-1458726879-126] [23/03/2016 at 09:54:00]"/>
  </r>
  <r>
    <s v="3621547-1458726877-187"/>
    <s v="Spot"/>
    <s v="3621547-1458726877-187"/>
    <n v="0"/>
    <d v="2016-03-31T00:00:00"/>
    <x v="2506"/>
    <s v="187"/>
    <s v="SELL"/>
    <n v="9.9546313799621924"/>
    <x v="0"/>
    <x v="1"/>
    <n v="210.64"/>
    <s v="Deal"/>
    <m/>
    <s v="Original Amount [EUR 21.16], Merchant Amount [EUR 21.16], Customer Amount [NOK 210.64], Status [APPROVED], Operation [DIRECT], UUID [3621547-1458726877-187] [23/03/2016 at 09:54:00]"/>
  </r>
  <r>
    <s v="3621529-1458726856-260"/>
    <s v="Spot"/>
    <s v="3621529-1458726856-260"/>
    <n v="0"/>
    <d v="2016-03-31T00:00:00"/>
    <x v="2507"/>
    <s v="260"/>
    <s v="SELL"/>
    <n v="9.7360000000000007"/>
    <x v="0"/>
    <x v="12"/>
    <n v="48.68"/>
    <s v="Deal"/>
    <m/>
    <s v="Original Amount [EUR 5], Merchant Amount [EUR 5], Customer Amount [SEK 48.68], Status [APPROVED], Operation [DIRECT], UUID [3621529-1458726856-260] [23/03/2016 at 09:54:00]"/>
  </r>
  <r>
    <s v="3621517-1458726845-119"/>
    <s v="Spot"/>
    <s v="3621517-1458726845-119"/>
    <n v="0"/>
    <d v="2016-03-31T00:00:00"/>
    <x v="2508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517-1458726845-119] [23/03/2016 at 09:54:00]"/>
  </r>
  <r>
    <s v="3621514-1458726844-216"/>
    <s v="Spot"/>
    <s v="3621514-1458726844-216"/>
    <n v="0"/>
    <d v="2016-03-31T00:00:00"/>
    <x v="250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514-1458726844-216] [23/03/2016 at 09:54:00]"/>
  </r>
  <r>
    <s v="3621559-1458726881-216"/>
    <s v="Spot"/>
    <s v="3621559-1458726881-216"/>
    <n v="0"/>
    <d v="2016-03-31T00:00:00"/>
    <x v="2510"/>
    <s v="216"/>
    <s v="SELL"/>
    <n v="3.3970172280791981"/>
    <x v="0"/>
    <x v="0"/>
    <n v="264.22000000000003"/>
    <s v="Deal"/>
    <m/>
    <s v="Original Amount [EUR 77.78], Merchant Amount [EUR 77.78], Customer Amount [TRY 264.22], Status [APPROVED], Operation [3DAUTH], UUID [3621559-1458726881-216] [23/03/2016 at 09:54:00]"/>
  </r>
  <r>
    <s v="3621523-1458726850-216"/>
    <s v="Spot"/>
    <s v="3621523-1458726850-216"/>
    <n v="0"/>
    <d v="2016-03-31T00:00:00"/>
    <x v="2511"/>
    <s v="216"/>
    <s v="SELL"/>
    <n v="3.3972999035679847"/>
    <x v="0"/>
    <x v="0"/>
    <n v="105.69"/>
    <s v="Deal"/>
    <m/>
    <s v="Original Amount [EUR 31.11], Merchant Amount [EUR 31.11], Customer Amount [TRY 105.69], Status [APPROVED], Operation [3DAUTH], UUID [3621523-1458726850-216] [23/03/2016 at 09:54:00]"/>
  </r>
  <r>
    <s v="3621487-1458726805-224"/>
    <s v="Spot"/>
    <s v="3621487-1458726805-224"/>
    <n v="0"/>
    <d v="2016-03-31T00:00:00"/>
    <x v="2512"/>
    <s v="224"/>
    <s v="SELL"/>
    <n v="9.9547482472912687"/>
    <x v="0"/>
    <x v="1"/>
    <n v="156.19"/>
    <s v="Deal"/>
    <m/>
    <s v="Original Amount [EUR 15.69], Merchant Amount [EUR 15.69], Customer Amount [NOK 156.19], Status [APPROVED], Operation [DIRECT], UUID [3621487-1458726805-224] [23/03/2016 at 09:53:00]"/>
  </r>
  <r>
    <s v="3621466-1458726785-56"/>
    <s v="Spot"/>
    <s v="3621466-1458726785-56"/>
    <n v="0"/>
    <d v="2016-03-31T00:00:00"/>
    <x v="2513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466-1458726785-56] [23/03/2016 at 09:53:00]"/>
  </r>
  <r>
    <s v="3621484-1458726796-216"/>
    <s v="Spot"/>
    <s v="3621484-1458726796-216"/>
    <n v="0"/>
    <d v="2016-03-31T00:00:00"/>
    <x v="2514"/>
    <s v="216"/>
    <s v="SELL"/>
    <n v="3.3975903614457832"/>
    <x v="0"/>
    <x v="0"/>
    <n v="42.3"/>
    <s v="Deal"/>
    <m/>
    <s v="Original Amount [EUR 12.45], Merchant Amount [EUR 12.45], Customer Amount [TRY 42.3], Status [APPROVED], Operation [3DAUTH], UUID [3621484-1458726796-216] [23/03/2016 at 09:53:00]"/>
  </r>
  <r>
    <s v="3621445-1458726768-216"/>
    <s v="Spot"/>
    <s v="3621445-1458726768-216"/>
    <n v="0"/>
    <d v="2016-03-31T00:00:00"/>
    <x v="2515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445-1458726768-216] [23/03/2016 at 09:52:00]"/>
  </r>
  <r>
    <s v="3621475-1458726792-101"/>
    <s v="Spot"/>
    <s v="3621475-1458726792-101"/>
    <n v="0"/>
    <d v="2016-03-31T00:00:00"/>
    <x v="2516"/>
    <s v="101"/>
    <s v="SELL"/>
    <n v="3.3970262055368434"/>
    <x v="0"/>
    <x v="0"/>
    <n v="413.52"/>
    <s v="Deal"/>
    <m/>
    <s v="Original Amount [EUR 121.73], Merchant Amount [EUR 121.73], Customer Amount [TRY 413.52], Status [APPROVED], Operation [3DAUTH], UUID [3621475-1458726792-101] [23/03/2016 at 09:53:00]"/>
  </r>
  <r>
    <s v="3621436-1458726756-224"/>
    <s v="Spot"/>
    <s v="3621436-1458726756-224"/>
    <n v="0"/>
    <d v="2016-03-31T00:00:00"/>
    <x v="2517"/>
    <s v="224"/>
    <s v="SELL"/>
    <n v="9.9545734524176162"/>
    <x v="0"/>
    <x v="1"/>
    <n v="1939.35"/>
    <s v="Deal"/>
    <m/>
    <s v="Original Amount [EUR 194.82], Merchant Amount [EUR 194.82], Customer Amount [NOK 1939.35], Status [APPROVED], Operation [DIRECT], UUID [3621436-1458726756-224] [23/03/2016 at 09:52:00]"/>
  </r>
  <r>
    <s v="3621430-1458726750-119"/>
    <s v="Spot"/>
    <s v="3621430-1458726750-119"/>
    <n v="0"/>
    <d v="2016-03-31T00:00:00"/>
    <x v="2518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21430-1458726750-119] [23/03/2016 at 09:52:00]"/>
  </r>
  <r>
    <s v="3621427-1458726749-216"/>
    <s v="Spot"/>
    <s v="3621427-1458726749-216"/>
    <n v="0"/>
    <d v="2016-03-31T00:00:00"/>
    <x v="25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427-1458726749-216] [23/03/2016 at 09:52:00]"/>
  </r>
  <r>
    <s v="3621424-1458726749-101"/>
    <s v="Spot"/>
    <s v="3621424-1458726749-101"/>
    <n v="0"/>
    <d v="2016-03-31T00:00:00"/>
    <x v="2520"/>
    <s v="101"/>
    <s v="SELL"/>
    <n v="3.3975"/>
    <x v="0"/>
    <x v="0"/>
    <n v="27.18"/>
    <s v="Deal"/>
    <m/>
    <s v="Original Amount [EUR 8], Merchant Amount [EUR 8], Customer Amount [TRY 27.18], Status [WAITING], Operation [3D], UUID [3621424-1458726749-101] [23/03/2016 at 09:52:00]"/>
  </r>
  <r>
    <s v="3621415-1458726744-126"/>
    <s v="Spot"/>
    <s v="3621415-1458726744-126"/>
    <n v="0"/>
    <d v="2016-03-31T00:00:00"/>
    <x v="2521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415-1458726744-126] [23/03/2016 at 09:52:00]"/>
  </r>
  <r>
    <s v="3621409-1458726738-199"/>
    <s v="Spot"/>
    <s v="3621409-1458726738-199"/>
    <n v="0"/>
    <d v="2016-03-31T00:00:00"/>
    <x v="2522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9-1458726738-199] [23/03/2016 at 09:52:00]"/>
  </r>
  <r>
    <s v="3621406-1458726733-119"/>
    <s v="Spot"/>
    <s v="3621406-1458726733-119"/>
    <n v="0"/>
    <d v="2016-03-31T00:00:00"/>
    <x v="2523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1406-1458726733-119] [23/03/2016 at 09:52:00]"/>
  </r>
  <r>
    <s v="3621457-1458726774-107"/>
    <s v="Spot"/>
    <s v="3621457-1458726774-107"/>
    <n v="0"/>
    <d v="2016-03-31T00:00:00"/>
    <x v="252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457-1458726774-107] [23/03/2016 at 09:52:00]"/>
  </r>
  <r>
    <s v="3621400-1458726726-199"/>
    <s v="Spot"/>
    <s v="3621400-1458726726-199"/>
    <n v="0"/>
    <d v="2016-03-31T00:00:00"/>
    <x v="2525"/>
    <s v="199"/>
    <s v="SELL"/>
    <n v="9.9547128129602349"/>
    <x v="0"/>
    <x v="1"/>
    <n v="540.74"/>
    <s v="Deal"/>
    <m/>
    <s v="Original Amount [EUR 54.32], Merchant Amount [EUR 54.32], Customer Amount [NOK 540.74], Status [APPROVED], Operation [DIRECT], UUID [3621400-1458726726-199] [23/03/2016 at 09:52:00]"/>
  </r>
  <r>
    <s v="3621397-1458726721-126"/>
    <s v="Spot"/>
    <s v="3621397-1458726721-126"/>
    <n v="0"/>
    <d v="2016-03-31T00:00:00"/>
    <x v="2526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1397-1458726721-126] [23/03/2016 at 09:52:00]"/>
  </r>
  <r>
    <s v="3621388-1458726711-200"/>
    <s v="Spot"/>
    <s v="3621388-1458726711-200"/>
    <n v="0"/>
    <d v="2016-03-31T00:00:00"/>
    <x v="2527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8-1458726711-200] [23/03/2016 at 09:51:00]"/>
  </r>
  <r>
    <s v="3621385-1458726706-200"/>
    <s v="Spot"/>
    <s v="3621385-1458726706-200"/>
    <n v="0"/>
    <d v="2016-03-31T00:00:00"/>
    <x v="2528"/>
    <s v="200"/>
    <s v="SELL"/>
    <n v="9.9546836982968365"/>
    <x v="0"/>
    <x v="1"/>
    <n v="327.31"/>
    <s v="Deal"/>
    <m/>
    <s v="Original Amount [EUR 32.88], Merchant Amount [EUR 32.88], Customer Amount [NOK 327.31], Status [APPROVED], Operation [STORED], UUID [3621385-1458726706-200] [23/03/2016 at 09:51:00]"/>
  </r>
  <r>
    <s v="3621379-1458726684-101"/>
    <s v="Spot"/>
    <s v="3621379-1458726684-101"/>
    <n v="0"/>
    <d v="2016-03-31T00:00:00"/>
    <x v="2529"/>
    <s v="101"/>
    <s v="SELL"/>
    <n v="3.3970657093803656"/>
    <x v="0"/>
    <x v="0"/>
    <n v="435.3"/>
    <s v="Deal"/>
    <m/>
    <s v="Original Amount [EUR 128.14], Merchant Amount [EUR 128.14], Customer Amount [TRY 435.3], Status [WAITING], Operation [3D], UUID [3621379-1458726684-101] [23/03/2016 at 09:51:00]"/>
  </r>
  <r>
    <s v="3621361-1458726665-238"/>
    <s v="Spot"/>
    <s v="3621361-1458726665-238"/>
    <n v="0"/>
    <d v="2016-03-31T00:00:00"/>
    <x v="2530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1361-1458726665-238] [23/03/2016 at 09:51:00]"/>
  </r>
  <r>
    <s v="3621358-1458726664-119"/>
    <s v="Spot"/>
    <s v="3621358-1458726664-119"/>
    <n v="0"/>
    <d v="2016-03-31T00:00:00"/>
    <x v="2531"/>
    <s v="119"/>
    <s v="SELL"/>
    <n v="9.954600000000001"/>
    <x v="0"/>
    <x v="1"/>
    <n v="995.46"/>
    <s v="Deal"/>
    <m/>
    <s v="Original Amount [EUR 100], Merchant Amount [EUR 100], Customer Amount [NOK 995.46], Status [APPROVED], Operation [DIRECT], UUID [3621358-1458726664-119] [23/03/2016 at 09:51:00]"/>
  </r>
  <r>
    <s v="3621349-1458726647-56"/>
    <s v="Spot"/>
    <s v="3621349-1458726647-56"/>
    <n v="0"/>
    <d v="2016-03-31T00:00:00"/>
    <x v="2532"/>
    <s v="56"/>
    <s v="SELL"/>
    <n v="3.3978365384615383"/>
    <x v="0"/>
    <x v="0"/>
    <n v="28.27"/>
    <s v="Deal"/>
    <m/>
    <s v="Original Amount [EUR 8.32], Merchant Amount [EUR 8.32], Customer Amount [TRY 28.27], Status [WAITING], Operation [3D], UUID [3621349-1458726647-56] [23/03/2016 at 09:50:00]"/>
  </r>
  <r>
    <s v="3621346-1458726641-126"/>
    <s v="Spot"/>
    <s v="3621346-1458726641-126"/>
    <n v="0"/>
    <d v="2016-03-31T00:00:00"/>
    <x v="2533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1346-1458726641-126] [23/03/2016 at 09:50:00]"/>
  </r>
  <r>
    <s v="3621364-1458726676-56"/>
    <s v="Spot"/>
    <s v="3621364-1458726676-56"/>
    <n v="0"/>
    <d v="2016-03-31T00:00:00"/>
    <x v="2534"/>
    <s v="56"/>
    <s v="SELL"/>
    <n v="3.3981481481481479"/>
    <x v="0"/>
    <x v="0"/>
    <n v="29.36"/>
    <s v="Deal"/>
    <m/>
    <s v="Original Amount [EUR 8.64], Merchant Amount [EUR 8.64], Customer Amount [TRY 29.36], Status [APPROVED], Operation [3DAUTH], UUID [3621364-1458726676-56] [23/03/2016 at 09:51:00]"/>
  </r>
  <r>
    <s v="3621340-1458726632-238"/>
    <s v="Spot"/>
    <s v="3621340-1458726632-238"/>
    <n v="0"/>
    <d v="2016-03-31T00:00:00"/>
    <x v="2535"/>
    <s v="238"/>
    <s v="SELL"/>
    <n v="1.5514705882352939"/>
    <x v="0"/>
    <x v="5"/>
    <n v="2.11"/>
    <s v="Deal"/>
    <m/>
    <s v="Original Amount [EUR 1.36], Merchant Amount [EUR 1.36], Customer Amount [AUD 2.11], Status [APPROVED], Operation [DIRECT], UUID [3621340-1458726632-238] [23/03/2016 at 09:50:00]"/>
  </r>
  <r>
    <s v="3621337-1458726631-224"/>
    <s v="Spot"/>
    <s v="3621337-1458726631-224"/>
    <n v="0"/>
    <d v="2016-03-31T00:00:00"/>
    <x v="2536"/>
    <s v="224"/>
    <s v="SELL"/>
    <n v="132.88377192982458"/>
    <x v="0"/>
    <x v="3"/>
    <n v="1211.9000000000001"/>
    <s v="Deal"/>
    <m/>
    <s v="Original Amount [EUR 9.12], Merchant Amount [EUR 9.12], Customer Amount [JPY 1211.9], Status [APPROVED], Operation [DIRECT], UUID [3621337-1458726631-224] [23/03/2016 at 09:50:00]"/>
  </r>
  <r>
    <s v="3621331-1458726610-119"/>
    <s v="Spot"/>
    <s v="3621331-1458726610-119"/>
    <n v="0"/>
    <d v="2016-03-31T00:00:00"/>
    <x v="2537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1331-1458726610-119] [23/03/2016 at 09:50:00]"/>
  </r>
  <r>
    <s v="3621328-1458726610-224"/>
    <s v="Spot"/>
    <s v="3621328-1458726610-224"/>
    <n v="0"/>
    <d v="2016-03-31T00:00:00"/>
    <x v="2538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1328-1458726610-224] [23/03/2016 at 09:50:00]"/>
  </r>
  <r>
    <s v="3621322-1458726607-119"/>
    <s v="Spot"/>
    <s v="3621322-1458726607-119"/>
    <n v="0"/>
    <d v="2016-03-31T00:00:00"/>
    <x v="2539"/>
    <s v="119"/>
    <s v="SELL"/>
    <n v="9.9412000000000003"/>
    <x v="0"/>
    <x v="1"/>
    <n v="497.06"/>
    <s v="Deal"/>
    <m/>
    <s v="Original Amount [EUR 50], Merchant Amount [EUR 50], Customer Amount [NOK 497.06], Status [APPROVED], Operation [DIRECT], UUID [3621322-1458726607-119] [23/03/2016 at 09:50:00]"/>
  </r>
  <r>
    <s v="3621304-1458726567-119"/>
    <s v="Spot"/>
    <s v="3621304-1458726567-119"/>
    <n v="0"/>
    <d v="2016-03-31T00:00:00"/>
    <x v="2540"/>
    <s v="119"/>
    <s v="SELL"/>
    <n v="9.9412000000000003"/>
    <x v="0"/>
    <x v="1"/>
    <n v="248.53"/>
    <s v="Deal"/>
    <m/>
    <s v="Original Amount [EUR 25], Merchant Amount [EUR 25], Customer Amount [NOK 248.53], Status [APPROVED], Operation [DIRECT], UUID [3621304-1458726567-119] [23/03/2016 at 09:49:00]"/>
  </r>
  <r>
    <s v="3621301-1458726565-216"/>
    <s v="Spot"/>
    <s v="3621301-1458726565-216"/>
    <n v="0"/>
    <d v="2016-03-31T00:00:00"/>
    <x v="2541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301-1458726565-216] [23/03/2016 at 09:49:00]"/>
  </r>
  <r>
    <s v="3621292-1458726557-224"/>
    <s v="Spot"/>
    <s v="3621292-1458726557-224"/>
    <n v="0"/>
    <d v="2016-03-31T00:00:00"/>
    <x v="2542"/>
    <s v="224"/>
    <s v="SELL"/>
    <n v="132.88274939293325"/>
    <x v="0"/>
    <x v="3"/>
    <n v="53628.82"/>
    <s v="Deal"/>
    <m/>
    <s v="Original Amount [EUR 403.58], Merchant Amount [EUR 403.58], Customer Amount [JPY 53628.82], Status [APPROVED], Operation [DIRECT], UUID [3621292-1458726557-224] [23/03/2016 at 09:49:00]"/>
  </r>
  <r>
    <s v="3621274-1458726523-199"/>
    <s v="Spot"/>
    <s v="3621274-1458726523-199"/>
    <n v="0"/>
    <d v="2016-03-31T00:00:00"/>
    <x v="2543"/>
    <s v="199"/>
    <s v="SELL"/>
    <n v="9.9410898379970547"/>
    <x v="0"/>
    <x v="1"/>
    <n v="540"/>
    <s v="Deal"/>
    <m/>
    <s v="Original Amount [EUR 54.32], Merchant Amount [EUR 54.32], Customer Amount [NOK 540], Status [APPROVED], Operation [DIRECT], UUID [3621274-1458726523-199] [23/03/2016 at 09:48:00]"/>
  </r>
  <r>
    <s v="3621283-1458726543-107"/>
    <s v="Spot"/>
    <s v="3621283-1458726543-107"/>
    <n v="0"/>
    <d v="2016-03-31T00:00:00"/>
    <x v="2544"/>
    <s v="107"/>
    <s v="SELL"/>
    <n v="3.3970303421562296"/>
    <x v="0"/>
    <x v="0"/>
    <n v="105.24"/>
    <s v="Deal"/>
    <m/>
    <s v="Original Amount [EUR 30.98], Merchant Amount [EUR 30.98], Customer Amount [TRY 105.24], Status [APPROVED], Operation [3DAUTH], UUID [3621283-1458726543-107] [23/03/2016 at 09:49:00]"/>
  </r>
  <r>
    <s v="3621262-1458726509-224"/>
    <s v="Spot"/>
    <s v="3621262-1458726509-224"/>
    <n v="0"/>
    <d v="2016-03-31T00:00:00"/>
    <x v="2545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262-1458726509-224] [23/03/2016 at 09:48:00]"/>
  </r>
  <r>
    <s v="3621256-1458726504-199"/>
    <s v="Spot"/>
    <s v="3621256-1458726504-199"/>
    <n v="0"/>
    <d v="2016-03-31T00:00:00"/>
    <x v="2546"/>
    <s v="199"/>
    <s v="SELL"/>
    <n v="9.9410952600092042"/>
    <x v="0"/>
    <x v="1"/>
    <n v="216.02"/>
    <s v="Deal"/>
    <m/>
    <s v="Original Amount [EUR 21.73], Merchant Amount [EUR 21.73], Customer Amount [NOK 216.02], Status [APPROVED], Operation [DIRECT], UUID [3621256-1458726504-199] [23/03/2016 at 09:48:00]"/>
  </r>
  <r>
    <s v="3621268-1458726521-216"/>
    <s v="Spot"/>
    <s v="3621268-1458726521-216"/>
    <n v="0"/>
    <d v="2016-03-31T00:00:00"/>
    <x v="2547"/>
    <s v="216"/>
    <s v="SELL"/>
    <n v="3.3971583220568338"/>
    <x v="0"/>
    <x v="0"/>
    <n v="100.42"/>
    <s v="Deal"/>
    <m/>
    <s v="Original Amount [EUR 29.56], Merchant Amount [EUR 29.56], Customer Amount [TRY 100.42], Status [APPROVED], Operation [3DAUTH], UUID [3621268-1458726521-216] [23/03/2016 at 09:48:00]"/>
  </r>
  <r>
    <s v="3621286-1458726544-107"/>
    <s v="Spot"/>
    <s v="3621286-1458726544-107"/>
    <n v="0"/>
    <d v="2016-03-31T00:00:00"/>
    <x v="2548"/>
    <s v="107"/>
    <s v="SELL"/>
    <n v="3.39703034215623"/>
    <x v="0"/>
    <x v="0"/>
    <n v="315.72000000000003"/>
    <s v="Deal"/>
    <m/>
    <s v="Original Amount [EUR 92.94], Merchant Amount [EUR 92.94], Customer Amount [TRY 315.72], Status [APPROVED], Operation [3DAUTH], UUID [3621286-1458726544-107] [23/03/2016 at 09:49:00]"/>
  </r>
  <r>
    <s v="3621214-1458726447-216"/>
    <s v="Spot"/>
    <s v="3621214-1458726447-216"/>
    <n v="0"/>
    <d v="2016-03-31T00:00:00"/>
    <x v="254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1214-1458726447-216] [23/03/2016 at 09:47:00]"/>
  </r>
  <r>
    <s v="3621211-1458726443-200"/>
    <s v="Spot"/>
    <s v="3621211-1458726443-200"/>
    <n v="0"/>
    <d v="2016-03-31T00:00:00"/>
    <x v="2550"/>
    <s v="200"/>
    <s v="SELL"/>
    <n v="9.9411227749885889"/>
    <x v="0"/>
    <x v="1"/>
    <n v="217.81"/>
    <s v="Deal"/>
    <m/>
    <s v="Original Amount [EUR 21.91], Merchant Amount [EUR 21.91], Customer Amount [NOK 217.81], Status [APPROVED], Operation [STORED], UUID [3621211-1458726443-200] [23/03/2016 at 09:47:00]"/>
  </r>
  <r>
    <s v="3621208-1458726443-224"/>
    <s v="Spot"/>
    <s v="3621208-1458726443-224"/>
    <n v="0"/>
    <d v="2016-03-31T00:00:00"/>
    <x v="2551"/>
    <s v="224"/>
    <s v="SELL"/>
    <n v="9.9410949410949421"/>
    <x v="0"/>
    <x v="1"/>
    <n v="430.35"/>
    <s v="Deal"/>
    <m/>
    <s v="Original Amount [EUR 43.29], Merchant Amount [EUR 43.29], Customer Amount [NOK 430.35], Status [APPROVED], Operation [DIRECT], UUID [3621208-1458726443-224] [23/03/2016 at 09:47:00]"/>
  </r>
  <r>
    <s v="3621226-1458726462-203"/>
    <s v="Spot"/>
    <s v="3621226-1458726462-203"/>
    <n v="0"/>
    <d v="2016-03-31T00:00:00"/>
    <x v="2552"/>
    <s v="203"/>
    <s v="SELL"/>
    <n v="3.3974193548387093"/>
    <x v="0"/>
    <x v="0"/>
    <n v="52.66"/>
    <s v="Deal"/>
    <m/>
    <s v="Original Amount [EUR 15.5], Merchant Amount [EUR 15.5], Customer Amount [TRY 52.66], Status [APPROVED], Operation [3DAUTH], UUID [3621226-1458726462-203] [23/03/2016 at 09:47:00]"/>
  </r>
  <r>
    <s v="3621205-1458726442-56"/>
    <s v="Spot"/>
    <s v="3621205-1458726442-56"/>
    <n v="0"/>
    <d v="2016-03-31T00:00:00"/>
    <x v="2553"/>
    <s v="56"/>
    <s v="SELL"/>
    <n v="3.3971276927880112"/>
    <x v="0"/>
    <x v="0"/>
    <n v="217.62"/>
    <s v="Deal"/>
    <m/>
    <s v="Original Amount [EUR 64.06], Merchant Amount [EUR 64.06], Customer Amount [TRY 217.62], Status [APPROVED], Operation [3DAUTH], UUID [3621205-1458726442-56] [23/03/2016 at 09:47:00]"/>
  </r>
  <r>
    <s v="3621172-1458726403-224"/>
    <s v="Spot"/>
    <s v="3621172-1458726403-224"/>
    <n v="0"/>
    <d v="2016-03-31T00:00:00"/>
    <x v="2554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72-1458726403-224] [23/03/2016 at 09:46:00]"/>
  </r>
  <r>
    <s v="3621163-1458726389-107"/>
    <s v="Spot"/>
    <s v="3621163-1458726389-107"/>
    <n v="0"/>
    <d v="2016-03-31T00:00:00"/>
    <x v="2555"/>
    <s v="107"/>
    <s v="SELL"/>
    <n v="3.3970303421562296"/>
    <x v="0"/>
    <x v="0"/>
    <n v="105.24"/>
    <s v="Deal"/>
    <m/>
    <s v="Original Amount [EUR 30.98], Merchant Amount [EUR 30.98], Customer Amount [TRY 105.24], Status [WAITING], Operation [3D], UUID [3621163-1458726389-107] [23/03/2016 at 09:46:00]"/>
  </r>
  <r>
    <s v="3621160-1458726383-216"/>
    <s v="Spot"/>
    <s v="3621160-1458726383-216"/>
    <n v="0"/>
    <d v="2016-03-31T00:00:00"/>
    <x v="2556"/>
    <s v="216"/>
    <s v="SELL"/>
    <n v="3.3976124885215793"/>
    <x v="0"/>
    <x v="0"/>
    <n v="37"/>
    <s v="Deal"/>
    <m/>
    <s v="Original Amount [EUR 10.89], Merchant Amount [EUR 10.89], Customer Amount [TRY 37], Status [WAITING], Operation [3D], UUID [3621160-1458726383-216] [23/03/2016 at 09:46:00]"/>
  </r>
  <r>
    <s v="3621157-1458726374-200"/>
    <s v="Spot"/>
    <s v="3621157-1458726374-200"/>
    <n v="0"/>
    <d v="2016-03-31T00:00:00"/>
    <x v="2557"/>
    <s v="200"/>
    <s v="SELL"/>
    <n v="9.9413017031630169"/>
    <x v="0"/>
    <x v="1"/>
    <n v="326.87"/>
    <s v="Deal"/>
    <m/>
    <s v="Original Amount [EUR 32.88], Merchant Amount [EUR 32.88], Customer Amount [NOK 326.87], Status [APPROVED], Operation [STORED], UUID [3621157-1458726374-200] [23/03/2016 at 09:46:00]"/>
  </r>
  <r>
    <s v="3621154-1458726369-216"/>
    <s v="Spot"/>
    <s v="3621154-1458726369-216"/>
    <n v="0"/>
    <d v="2016-03-31T00:00:00"/>
    <x v="2558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54-1458726369-216] [23/03/2016 at 09:46:00]"/>
  </r>
  <r>
    <s v="3621151-1458726365-200"/>
    <s v="Spot"/>
    <s v="3621151-1458726365-200"/>
    <n v="0"/>
    <d v="2016-03-31T00:00:00"/>
    <x v="2559"/>
    <s v="200"/>
    <s v="SELL"/>
    <n v="9.9413333333333345"/>
    <x v="0"/>
    <x v="1"/>
    <n v="298.24"/>
    <s v="Deal"/>
    <m/>
    <s v="Original Amount [EUR 30], Merchant Amount [EUR 30], Customer Amount [NOK 298.24], Status [APPROVED], Operation [STORED], UUID [3621151-1458726365-200] [23/03/2016 at 09:46:00]"/>
  </r>
  <r>
    <s v="3621142-1458726355-187"/>
    <s v="Spot"/>
    <s v="3621142-1458726355-187"/>
    <n v="0"/>
    <d v="2016-03-31T00:00:00"/>
    <x v="2560"/>
    <s v="187"/>
    <s v="SELL"/>
    <n v="9.9410838059231246"/>
    <x v="0"/>
    <x v="1"/>
    <n v="315.52999999999997"/>
    <s v="Deal"/>
    <m/>
    <s v="Original Amount [EUR 31.74], Merchant Amount [EUR 31.74], Customer Amount [NOK 315.53], Status [APPROVED], Operation [DIRECT], UUID [3621142-1458726355-187] [23/03/2016 at 09:45:00]"/>
  </r>
  <r>
    <s v="3621133-1458726353-216"/>
    <s v="Spot"/>
    <s v="3621133-1458726353-216"/>
    <n v="0"/>
    <d v="2016-03-31T00:00:00"/>
    <x v="2561"/>
    <s v="216"/>
    <s v="SELL"/>
    <n v="3.3971361776738749"/>
    <x v="0"/>
    <x v="0"/>
    <n v="116.25"/>
    <s v="Deal"/>
    <m/>
    <s v="Original Amount [EUR 34.22], Merchant Amount [EUR 34.22], Customer Amount [TRY 116.25], Status [WAITING], Operation [3D], UUID [3621133-1458726353-216] [23/03/2016 at 09:45:00]"/>
  </r>
  <r>
    <s v="3621112-1458726339-224"/>
    <s v="Spot"/>
    <s v="3621112-1458726339-224"/>
    <n v="0"/>
    <d v="2016-03-31T00:00:00"/>
    <x v="2562"/>
    <s v="224"/>
    <s v="SELL"/>
    <n v="132.88275127106414"/>
    <x v="0"/>
    <x v="3"/>
    <n v="59851.72"/>
    <s v="Deal"/>
    <m/>
    <s v="Original Amount [EUR 450.41], Merchant Amount [EUR 450.41], Customer Amount [JPY 59851.72], Status [APPROVED], Operation [DIRECT], UUID [3621112-1458726339-224] [23/03/2016 at 09:45:00]"/>
  </r>
  <r>
    <s v="3621106-1458726335-107"/>
    <s v="Spot"/>
    <s v="3621106-1458726335-107"/>
    <n v="0"/>
    <d v="2016-03-31T00:00:00"/>
    <x v="2563"/>
    <s v="107"/>
    <s v="SELL"/>
    <n v="3.3970486511413425"/>
    <x v="0"/>
    <x v="0"/>
    <n v="147.33000000000001"/>
    <s v="Deal"/>
    <m/>
    <s v="Original Amount [EUR 43.37], Merchant Amount [EUR 43.37], Customer Amount [TRY 147.33], Status [APPROVED], Operation [3DAUTH], UUID [3621106-1458726335-107] [23/03/2016 at 09:45:00]"/>
  </r>
  <r>
    <s v="3621127-1458726349-107"/>
    <s v="Spot"/>
    <s v="3621127-1458726349-107"/>
    <n v="0"/>
    <d v="2016-03-31T00:00:00"/>
    <x v="2564"/>
    <s v="107"/>
    <s v="SELL"/>
    <n v="3.3974181650530193"/>
    <x v="0"/>
    <x v="0"/>
    <n v="73.69"/>
    <s v="Deal"/>
    <m/>
    <s v="Original Amount [EUR 21.69], Merchant Amount [EUR 21.69], Customer Amount [TRY 73.69], Status [APPROVED], Operation [3DAUTH], UUID [3621127-1458726349-107] [23/03/2016 at 09:45:00]"/>
  </r>
  <r>
    <s v="3621094-1458726312-224"/>
    <s v="Spot"/>
    <s v="3621094-1458726312-224"/>
    <n v="0"/>
    <d v="2016-03-31T00:00:00"/>
    <x v="2565"/>
    <s v="224"/>
    <s v="SELL"/>
    <n v="9.9411298838437165"/>
    <x v="0"/>
    <x v="1"/>
    <n v="753.14"/>
    <s v="Deal"/>
    <m/>
    <s v="Original Amount [EUR 75.76], Merchant Amount [EUR 75.76], Customer Amount [NOK 753.14], Status [APPROVED], Operation [DIRECT], UUID [3621094-1458726312-224] [23/03/2016 at 09:45:00]"/>
  </r>
  <r>
    <s v="3621088-1458726309-199"/>
    <s v="Spot"/>
    <s v="3621088-1458726309-199"/>
    <n v="0"/>
    <d v="2016-03-31T00:00:00"/>
    <x v="2566"/>
    <s v="199"/>
    <s v="SELL"/>
    <n v="9.9410862227677192"/>
    <x v="0"/>
    <x v="1"/>
    <n v="323.98"/>
    <s v="Deal"/>
    <m/>
    <s v="Original Amount [EUR 32.59], Merchant Amount [EUR 32.59], Customer Amount [NOK 323.98], Status [APPROVED], Operation [DIRECT], UUID [3621088-1458726309-199] [23/03/2016 at 09:45:00]"/>
  </r>
  <r>
    <s v="3621115-1458726340-124"/>
    <s v="Spot"/>
    <s v="3621115-1458726340-124"/>
    <n v="0"/>
    <d v="2016-03-31T00:00:00"/>
    <x v="2567"/>
    <s v="124"/>
    <s v="SELL"/>
    <n v="9.9411764705882337"/>
    <x v="0"/>
    <x v="1"/>
    <n v="346.45"/>
    <s v="Deal"/>
    <m/>
    <s v="Original Amount [EUR 34.85], Merchant Amount [EUR 34.85], Customer Amount [NOK 346.45], Status [APPROVED], Operation [3DAUTH], UUID [3621115-1458726340-124] [23/03/2016 at 09:45:00]"/>
  </r>
  <r>
    <s v="3621076-1458726300-199"/>
    <s v="Spot"/>
    <s v="3621076-1458726300-199"/>
    <n v="0"/>
    <d v="2016-03-31T00:00:00"/>
    <x v="2568"/>
    <s v="199"/>
    <s v="SELL"/>
    <n v="9.9679675994108994"/>
    <x v="0"/>
    <x v="1"/>
    <n v="541.46"/>
    <s v="Deal"/>
    <m/>
    <s v="Original Amount [EUR 54.32], Merchant Amount [EUR 54.32], Customer Amount [NOK 541.46], Status [APPROVED], Operation [DIRECT], UUID [3621076-1458726300-199] [23/03/2016 at 09:45:00]"/>
  </r>
  <r>
    <s v="3621121-1458726345-264"/>
    <s v="Spot"/>
    <s v="3621121-1458726345-264"/>
    <n v="0"/>
    <d v="2016-03-31T00:00:00"/>
    <x v="2569"/>
    <s v="264"/>
    <s v="SELL"/>
    <n v="80.141430412371136"/>
    <x v="0"/>
    <x v="8"/>
    <n v="2487.59"/>
    <s v="Deal"/>
    <m/>
    <s v="Original Amount [TRY 100], Merchant Amount [EUR 31.04], Customer Amount [RUB 2487.59], Status [APPROVED], Operation [3DAUTH], UUID [3621121-1458726345-264] [23/03/2016 at 09:45:00]"/>
  </r>
  <r>
    <s v="3621082-1458726301-124"/>
    <s v="Spot"/>
    <s v="3621082-1458726301-124"/>
    <n v="0"/>
    <d v="2016-03-31T00:00:00"/>
    <x v="2570"/>
    <s v="124"/>
    <s v="SELL"/>
    <n v="9.968030018761727"/>
    <x v="0"/>
    <x v="1"/>
    <n v="1328.24"/>
    <s v="Deal"/>
    <m/>
    <s v="Original Amount [EUR 133.25], Merchant Amount [EUR 133.25], Customer Amount [NOK 1328.24], Status [APPROVED], Operation [3DAUTH], UUID [3621082-1458726301-124] [23/03/2016 at 09:45:00]"/>
  </r>
  <r>
    <s v="3621058-1458726264-216"/>
    <s v="Spot"/>
    <s v="3621058-1458726264-216"/>
    <n v="0"/>
    <d v="2016-03-31T00:00:00"/>
    <x v="2571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1058-1458726264-216] [23/03/2016 at 09:44:00]"/>
  </r>
  <r>
    <s v="3621067-1458726280-216"/>
    <s v="Spot"/>
    <s v="3621067-1458726280-216"/>
    <n v="0"/>
    <d v="2016-03-31T00:00:00"/>
    <x v="2572"/>
    <s v="216"/>
    <s v="SELL"/>
    <n v="3.3958868894601544"/>
    <x v="0"/>
    <x v="0"/>
    <n v="52.84"/>
    <s v="Deal"/>
    <m/>
    <s v="Original Amount [EUR 15.56], Merchant Amount [EUR 15.56], Customer Amount [TRY 52.84], Status [APPROVED], Operation [3DAUTH], UUID [3621067-1458726280-216] [23/03/2016 at 09:44:00]"/>
  </r>
  <r>
    <s v="3621064-1458726277-107"/>
    <s v="Spot"/>
    <s v="3621064-1458726277-107"/>
    <n v="0"/>
    <d v="2016-03-31T00:00:00"/>
    <x v="2573"/>
    <s v="107"/>
    <s v="SELL"/>
    <n v="3.3957391865719821"/>
    <x v="0"/>
    <x v="0"/>
    <n v="52.6"/>
    <s v="Deal"/>
    <m/>
    <s v="Original Amount [EUR 15.49], Merchant Amount [EUR 15.49], Customer Amount [TRY 52.6], Status [APPROVED], Operation [3DAUTH], UUID [3621064-1458726277-107] [23/03/2016 at 09:44:00]"/>
  </r>
  <r>
    <s v="3621049-1458726255-224"/>
    <s v="Spot"/>
    <s v="3621049-1458726255-224"/>
    <n v="0"/>
    <d v="2016-03-31T00:00:00"/>
    <x v="2574"/>
    <s v="224"/>
    <s v="SELL"/>
    <n v="9.9679905157083564"/>
    <x v="0"/>
    <x v="1"/>
    <n v="2690.56"/>
    <s v="Deal"/>
    <m/>
    <s v="Original Amount [EUR 269.92], Merchant Amount [EUR 269.92], Customer Amount [NOK 2690.56], Status [APPROVED], Operation [DIRECT], UUID [3621049-1458726255-224] [23/03/2016 at 09:44:00]"/>
  </r>
  <r>
    <s v="3621040-1458726249-82"/>
    <s v="Spot"/>
    <s v="3621040-1458726249-82"/>
    <n v="0"/>
    <d v="2016-03-31T00:00:00"/>
    <x v="2575"/>
    <s v="82"/>
    <s v="SELL"/>
    <n v="0"/>
    <x v="0"/>
    <x v="7"/>
    <n v="0.01"/>
    <s v="Deal"/>
    <m/>
    <s v="Original Amount [USD 0.01], Merchant Amount [EUR 0], Customer Amount [USD 0.01], Status [APPROVED], Operation [STORED], UUID [3621040-1458726249-82] [23/03/2016 at 09:44:00]"/>
  </r>
  <r>
    <s v="3621037-1458726243-187"/>
    <s v="Spot"/>
    <s v="3621037-1458726243-187"/>
    <n v="0"/>
    <d v="2016-03-31T00:00:00"/>
    <x v="2576"/>
    <s v="187"/>
    <s v="SELL"/>
    <n v="9.9688090737240067"/>
    <x v="0"/>
    <x v="1"/>
    <n v="105.47"/>
    <s v="Deal"/>
    <m/>
    <s v="Original Amount [EUR 10.58], Merchant Amount [EUR 10.58], Customer Amount [NOK 105.47], Status [APPROVED], Operation [DIRECT], UUID [3621037-1458726243-187] [23/03/2016 at 09:44:00]"/>
  </r>
  <r>
    <s v="3621028-1458726224-224"/>
    <s v="Spot"/>
    <s v="3621028-1458726224-224"/>
    <n v="0"/>
    <d v="2016-03-31T00:00:00"/>
    <x v="2577"/>
    <s v="224"/>
    <s v="SELL"/>
    <n v="132.96697413403857"/>
    <x v="0"/>
    <x v="3"/>
    <n v="20613.87"/>
    <s v="Deal"/>
    <m/>
    <s v="Original Amount [EUR 155.03], Merchant Amount [EUR 155.03], Customer Amount [JPY 20613.87], Status [APPROVED], Operation [DIRECT], UUID [3621028-1458726224-224] [23/03/2016 at 09:43:00]"/>
  </r>
  <r>
    <s v="3621001-1458726200-224"/>
    <s v="Spot"/>
    <s v="3621001-1458726200-224"/>
    <n v="0"/>
    <d v="2016-03-31T00:00:00"/>
    <x v="2578"/>
    <s v="224"/>
    <s v="SELL"/>
    <n v="9.9680280909258911"/>
    <x v="0"/>
    <x v="1"/>
    <n v="539.37"/>
    <s v="Deal"/>
    <m/>
    <s v="Original Amount [EUR 54.11], Merchant Amount [EUR 54.11], Customer Amount [NOK 539.37], Status [APPROVED], Operation [DIRECT], UUID [3621001-1458726200-224] [23/03/2016 at 09:43:00]"/>
  </r>
  <r>
    <s v="3620989-1458726184-216"/>
    <s v="Spot"/>
    <s v="3620989-1458726184-216"/>
    <n v="0"/>
    <d v="2016-03-31T00:00:00"/>
    <x v="2579"/>
    <s v="216"/>
    <s v="SELL"/>
    <n v="3.396032831737346"/>
    <x v="0"/>
    <x v="0"/>
    <n v="49.65"/>
    <s v="Deal"/>
    <m/>
    <s v="Original Amount [EUR 14.62], Merchant Amount [EUR 14.62], Customer Amount [TRY 49.65], Status [WAITING], Operation [3D], UUID [3620989-1458726184-216] [23/03/2016 at 09:43:00]"/>
  </r>
  <r>
    <s v="3620983-1458726173-216"/>
    <s v="Spot"/>
    <s v="3620983-1458726173-216"/>
    <n v="0"/>
    <d v="2016-03-31T00:00:00"/>
    <x v="2580"/>
    <s v="216"/>
    <s v="SELL"/>
    <n v="3.3958868894601544"/>
    <x v="0"/>
    <x v="0"/>
    <n v="52.84"/>
    <s v="Deal"/>
    <m/>
    <s v="Original Amount [EUR 15.56], Merchant Amount [EUR 15.56], Customer Amount [TRY 52.84], Status [WAITING], Operation [3D], UUID [3620983-1458726173-216] [23/03/2016 at 09:42:00]"/>
  </r>
  <r>
    <s v="3621004-1458726201-216"/>
    <s v="Spot"/>
    <s v="3621004-1458726201-216"/>
    <n v="0"/>
    <d v="2016-03-31T00:00:00"/>
    <x v="2581"/>
    <s v="216"/>
    <s v="SELL"/>
    <n v="3.3955323423061468"/>
    <x v="0"/>
    <x v="0"/>
    <n v="2112.87"/>
    <s v="Deal"/>
    <m/>
    <s v="Original Amount [EUR 622.25], Merchant Amount [EUR 622.25], Customer Amount [TRY 2112.87], Status [APPROVED], Operation [3DAUTH], UUID [3621004-1458726201-216] [23/03/2016 at 09:43:00]"/>
  </r>
  <r>
    <s v="3620977-1458726162-171"/>
    <s v="Spot"/>
    <s v="3620977-1458726162-171"/>
    <n v="0"/>
    <d v="2016-03-31T00:00:00"/>
    <x v="2582"/>
    <s v="171"/>
    <s v="SELL"/>
    <n v="9.968"/>
    <x v="0"/>
    <x v="1"/>
    <n v="398.72"/>
    <s v="Deal"/>
    <m/>
    <s v="Original Amount [EUR 40], Merchant Amount [EUR 40], Customer Amount [NOK 398.72], Status [APPROVED], Operation [DIRECT], UUID [3620977-1458726162-171] [23/03/2016 at 09:42:00]"/>
  </r>
  <r>
    <s v="3620974-1458726148-224"/>
    <s v="Spot"/>
    <s v="3620974-1458726148-224"/>
    <n v="0"/>
    <d v="2016-03-31T00:00:00"/>
    <x v="2583"/>
    <s v="224"/>
    <s v="SELL"/>
    <n v="9.9679704342469986"/>
    <x v="0"/>
    <x v="1"/>
    <n v="323.66000000000003"/>
    <s v="Deal"/>
    <m/>
    <s v="Original Amount [EUR 32.47], Merchant Amount [EUR 32.47], Customer Amount [NOK 323.66], Status [APPROVED], Operation [DIRECT], UUID [3620974-1458726148-224] [23/03/2016 at 09:42:00]"/>
  </r>
  <r>
    <s v="3620968-1458726122-119"/>
    <s v="Spot"/>
    <s v="3620968-1458726122-119"/>
    <n v="0"/>
    <d v="2016-03-31T00:00:00"/>
    <x v="2584"/>
    <s v="119"/>
    <s v="SELL"/>
    <n v="9.968"/>
    <x v="0"/>
    <x v="1"/>
    <n v="498.4"/>
    <s v="Deal"/>
    <m/>
    <s v="Original Amount [EUR 50], Merchant Amount [EUR 50], Customer Amount [NOK 498.4], Status [APPROVED], Operation [DIRECT], UUID [3620968-1458726122-119] [23/03/2016 at 09:42:00]"/>
  </r>
  <r>
    <s v="3621013-1458726211-216"/>
    <s v="Spot"/>
    <s v="3621013-1458726211-216"/>
    <n v="0"/>
    <d v="2016-03-31T00:00:00"/>
    <x v="2585"/>
    <s v="216"/>
    <s v="SELL"/>
    <n v="3.3957759412304864"/>
    <x v="0"/>
    <x v="0"/>
    <n v="36.979999999999997"/>
    <s v="Deal"/>
    <m/>
    <s v="Original Amount [EUR 10.89], Merchant Amount [EUR 10.89], Customer Amount [TRY 36.98], Status [APPROVED], Operation [3DAUTH], UUID [3621013-1458726211-216] [23/03/2016 at 09:43:00]"/>
  </r>
  <r>
    <s v="3620962-1458726109-119"/>
    <s v="Spot"/>
    <s v="3620962-1458726109-119"/>
    <n v="0"/>
    <d v="2016-03-31T00:00:00"/>
    <x v="2586"/>
    <s v="119"/>
    <s v="SELL"/>
    <n v="9.954600000000001"/>
    <x v="0"/>
    <x v="1"/>
    <n v="497.73"/>
    <s v="Deal"/>
    <m/>
    <s v="Original Amount [EUR 50], Merchant Amount [EUR 50], Customer Amount [NOK 497.73], Status [APPROVED], Operation [DIRECT], UUID [3620962-1458726109-119] [23/03/2016 at 09:41:00]"/>
  </r>
  <r>
    <s v="3620959-1458726109-216"/>
    <s v="Spot"/>
    <s v="3620959-1458726109-216"/>
    <n v="0"/>
    <d v="2016-03-31T00:00:00"/>
    <x v="2587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59-1458726109-216] [23/03/2016 at 09:41:00]"/>
  </r>
  <r>
    <s v="3620971-1458726129-56"/>
    <s v="Spot"/>
    <s v="3620971-1458726129-56"/>
    <n v="0"/>
    <d v="2016-03-31T00:00:00"/>
    <x v="2588"/>
    <s v="56"/>
    <s v="SELL"/>
    <n v="3.3969555035128804"/>
    <x v="0"/>
    <x v="0"/>
    <n v="87.03"/>
    <s v="Deal"/>
    <m/>
    <s v="Original Amount [EUR 25.62], Merchant Amount [EUR 25.62], Customer Amount [TRY 87.03], Status [APPROVED], Operation [3DAUTH], UUID [3620971-1458726129-56] [23/03/2016 at 09:42:00]"/>
  </r>
  <r>
    <s v="3620926-1458726060-216"/>
    <s v="Spot"/>
    <s v="3620926-1458726060-216"/>
    <n v="0"/>
    <d v="2016-03-31T00:00:00"/>
    <x v="258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926-1458726060-216] [23/03/2016 at 09:41:00]"/>
  </r>
  <r>
    <s v="3620953-1458726095-216"/>
    <s v="Spot"/>
    <s v="3620953-1458726095-216"/>
    <n v="0"/>
    <d v="2016-03-31T00:00:00"/>
    <x v="2590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953-1458726095-216] [23/03/2016 at 09:41:00]"/>
  </r>
  <r>
    <s v="3620917-1458726045-224"/>
    <s v="Spot"/>
    <s v="3620917-1458726045-224"/>
    <n v="0"/>
    <d v="2016-03-31T00:00:00"/>
    <x v="2591"/>
    <s v="224"/>
    <s v="SELL"/>
    <n v="9.9547134935304982"/>
    <x v="0"/>
    <x v="1"/>
    <n v="107.71"/>
    <s v="Deal"/>
    <m/>
    <s v="Original Amount [EUR 10.82], Merchant Amount [EUR 10.82], Customer Amount [NOK 107.71], Status [APPROVED], Operation [DIRECT], UUID [3620917-1458726045-224] [23/03/2016 at 09:40:00]"/>
  </r>
  <r>
    <s v="3620905-1458726026-224"/>
    <s v="Spot"/>
    <s v="3620905-1458726026-224"/>
    <n v="0"/>
    <d v="2016-03-31T00:00:00"/>
    <x v="259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905-1458726026-224] [23/03/2016 at 09:40:00]"/>
  </r>
  <r>
    <s v="3620902-1458726026-224"/>
    <s v="Spot"/>
    <s v="3620902-1458726026-224"/>
    <n v="0"/>
    <d v="2016-03-31T00:00:00"/>
    <x v="2593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902-1458726026-224] [23/03/2016 at 09:40:00]"/>
  </r>
  <r>
    <s v="3620899-1458726026-224"/>
    <s v="Spot"/>
    <s v="3620899-1458726026-224"/>
    <n v="0"/>
    <d v="2016-03-31T00:00:00"/>
    <x v="2594"/>
    <s v="224"/>
    <s v="SELL"/>
    <n v="9.9545791345583865"/>
    <x v="0"/>
    <x v="1"/>
    <n v="2686.94"/>
    <s v="Deal"/>
    <m/>
    <s v="Original Amount [EUR 269.92], Merchant Amount [EUR 269.92], Customer Amount [NOK 2686.94], Status [APPROVED], Operation [DIRECT], UUID [3620899-1458726026-224] [23/03/2016 at 09:40:00]"/>
  </r>
  <r>
    <s v="3620893-1458726009-126"/>
    <s v="Spot"/>
    <s v="3620893-1458726009-126"/>
    <n v="0"/>
    <d v="2016-03-31T00:00:00"/>
    <x v="2595"/>
    <s v="126"/>
    <s v="SELL"/>
    <n v="9.9547967479674799"/>
    <x v="0"/>
    <x v="1"/>
    <n v="306.11"/>
    <s v="Deal"/>
    <m/>
    <s v="Original Amount [EUR 30.75], Merchant Amount [EUR 30.75], Customer Amount [NOK 306.11], Status [APPROVED], Operation [DIRECT], UUID [3620893-1458726009-126] [23/03/2016 at 09:40:00]"/>
  </r>
  <r>
    <s v="3620908-1458726038-216"/>
    <s v="Spot"/>
    <s v="3620908-1458726038-216"/>
    <n v="0"/>
    <d v="2016-03-31T00:00:00"/>
    <x v="2596"/>
    <s v="216"/>
    <s v="SELL"/>
    <n v="3.3968200270635993"/>
    <x v="0"/>
    <x v="0"/>
    <n v="100.41"/>
    <s v="Deal"/>
    <m/>
    <s v="Original Amount [EUR 29.56], Merchant Amount [EUR 29.56], Customer Amount [TRY 100.41], Status [APPROVED], Operation [3DAUTH], UUID [3620908-1458726038-216] [23/03/2016 at 09:40:00]"/>
  </r>
  <r>
    <s v="3620884-1458726004-216"/>
    <s v="Spot"/>
    <s v="3620884-1458726004-216"/>
    <n v="0"/>
    <d v="2016-03-31T00:00:00"/>
    <x v="2597"/>
    <s v="216"/>
    <s v="SELL"/>
    <n v="3.3966009711511003"/>
    <x v="0"/>
    <x v="0"/>
    <n v="237.83"/>
    <s v="Deal"/>
    <m/>
    <s v="Original Amount [EUR 70.02], Merchant Amount [EUR 70.02], Customer Amount [TRY 237.83], Status [APPROVED], Operation [3DAUTH], UUID [3620884-1458726004-216] [23/03/2016 at 09:40:00]"/>
  </r>
  <r>
    <s v="3620872-1458725972-216"/>
    <s v="Spot"/>
    <s v="3620872-1458725972-216"/>
    <n v="0"/>
    <d v="2016-03-31T00:00:00"/>
    <x v="2598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872-1458725972-216] [23/03/2016 at 09:39:00]"/>
  </r>
  <r>
    <s v="3620863-1458725943-224"/>
    <s v="Spot"/>
    <s v="3620863-1458725943-224"/>
    <n v="0"/>
    <d v="2016-03-31T00:00:00"/>
    <x v="2599"/>
    <s v="224"/>
    <s v="SELL"/>
    <n v="9.9547134935304982"/>
    <x v="0"/>
    <x v="1"/>
    <n v="215.42"/>
    <s v="Deal"/>
    <m/>
    <s v="Original Amount [EUR 21.64], Merchant Amount [EUR 21.64], Customer Amount [NOK 215.42], Status [APPROVED], Operation [DIRECT], UUID [3620863-1458725943-224] [23/03/2016 at 09:39:00]"/>
  </r>
  <r>
    <s v="3620854-1458725930-216"/>
    <s v="Spot"/>
    <s v="3620854-1458725930-216"/>
    <n v="0"/>
    <d v="2016-03-31T00:00:00"/>
    <x v="2600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54-1458725930-216] [23/03/2016 at 09:38:00]"/>
  </r>
  <r>
    <s v="3620851-1458725927-119"/>
    <s v="Spot"/>
    <s v="3620851-1458725927-119"/>
    <n v="0"/>
    <d v="2016-03-31T00:00:00"/>
    <x v="2601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851-1458725927-119] [23/03/2016 at 09:38:00]"/>
  </r>
  <r>
    <s v="3620848-1458725926-224"/>
    <s v="Spot"/>
    <s v="3620848-1458725926-224"/>
    <n v="0"/>
    <d v="2016-03-31T00:00:00"/>
    <x v="2602"/>
    <s v="224"/>
    <s v="SELL"/>
    <n v="9.9418950826403876"/>
    <x v="0"/>
    <x v="1"/>
    <n v="968.44"/>
    <s v="Deal"/>
    <m/>
    <s v="Original Amount [EUR 97.41], Merchant Amount [EUR 97.41], Customer Amount [NOK 968.44], Status [APPROVED], Operation [DIRECT], UUID [3620848-1458725926-224] [23/03/2016 at 09:38:00]"/>
  </r>
  <r>
    <s v="3620842-1458725918-200"/>
    <s v="Spot"/>
    <s v="3620842-1458725918-200"/>
    <n v="0"/>
    <d v="2016-03-31T00:00:00"/>
    <x v="2603"/>
    <s v="200"/>
    <s v="SELL"/>
    <n v="9.9419708029197089"/>
    <x v="0"/>
    <x v="1"/>
    <n v="544.82000000000005"/>
    <s v="Deal"/>
    <m/>
    <s v="Original Amount [EUR 54.8], Merchant Amount [EUR 54.8], Customer Amount [NOK 544.82], Status [APPROVED], Operation [STORED], UUID [3620842-1458725918-200] [23/03/2016 at 09:38:00]"/>
  </r>
  <r>
    <s v="3620839-1458725916-216"/>
    <s v="Spot"/>
    <s v="3620839-1458725916-216"/>
    <n v="0"/>
    <d v="2016-03-31T00:00:00"/>
    <x v="2604"/>
    <s v="216"/>
    <s v="SELL"/>
    <n v="3.3920308483290489"/>
    <x v="0"/>
    <x v="0"/>
    <n v="52.78"/>
    <s v="Deal"/>
    <m/>
    <s v="Original Amount [EUR 15.56], Merchant Amount [EUR 15.56], Customer Amount [TRY 52.78], Status [WAITING], Operation [3D], UUID [3620839-1458725916-216] [23/03/2016 at 09:38:00]"/>
  </r>
  <r>
    <s v="3620845-1458725923-216"/>
    <s v="Spot"/>
    <s v="3620845-1458725923-216"/>
    <n v="0"/>
    <d v="2016-03-31T00:00:00"/>
    <x v="2605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45-1458725923-216] [23/03/2016 at 09:38:00]"/>
  </r>
  <r>
    <s v="3620827-1458725892-216"/>
    <s v="Spot"/>
    <s v="3620827-1458725892-216"/>
    <n v="0"/>
    <d v="2016-03-31T00:00:00"/>
    <x v="2606"/>
    <s v="216"/>
    <s v="SELL"/>
    <n v="3.3923444976076556"/>
    <x v="0"/>
    <x v="0"/>
    <n v="49.63"/>
    <s v="Deal"/>
    <m/>
    <s v="Original Amount [EUR 14.63], Merchant Amount [EUR 14.63], Customer Amount [TRY 49.63], Status [WAITING], Operation [3D], UUID [3620827-1458725892-216] [23/03/2016 at 09:38:00]"/>
  </r>
  <r>
    <s v="3620815-1458725880-224"/>
    <s v="Spot"/>
    <s v="3620815-1458725880-224"/>
    <n v="0"/>
    <d v="2016-03-31T00:00:00"/>
    <x v="2607"/>
    <s v="224"/>
    <s v="SELL"/>
    <n v="132.97225572979494"/>
    <x v="0"/>
    <x v="3"/>
    <n v="12125.74"/>
    <s v="Deal"/>
    <m/>
    <s v="Original Amount [EUR 91.19], Merchant Amount [EUR 91.19], Customer Amount [JPY 12125.74], Status [APPROVED], Operation [DIRECT], UUID [3620815-1458725880-224] [23/03/2016 at 09:38:00]"/>
  </r>
  <r>
    <s v="3620809-1458725868-126"/>
    <s v="Spot"/>
    <s v="3620809-1458725868-126"/>
    <n v="0"/>
    <d v="2016-03-31T00:00:00"/>
    <x v="2608"/>
    <s v="126"/>
    <s v="SELL"/>
    <n v="9.9419512195121946"/>
    <x v="0"/>
    <x v="1"/>
    <n v="407.62"/>
    <s v="Deal"/>
    <m/>
    <s v="Original Amount [EUR 41], Merchant Amount [EUR 41], Customer Amount [NOK 407.62], Status [APPROVED], Operation [DIRECT], UUID [3620809-1458725868-126] [23/03/2016 at 09:37:00]"/>
  </r>
  <r>
    <s v="3620818-1458725883-216"/>
    <s v="Spot"/>
    <s v="3620818-1458725883-216"/>
    <n v="0"/>
    <d v="2016-03-31T00:00:00"/>
    <x v="2609"/>
    <s v="216"/>
    <s v="SELL"/>
    <n v="3.3920308483290489"/>
    <x v="0"/>
    <x v="0"/>
    <n v="52.78"/>
    <s v="Deal"/>
    <m/>
    <s v="Original Amount [EUR 15.56], Merchant Amount [EUR 15.56], Customer Amount [TRY 52.78], Status [APPROVED], Operation [3DAUTH], UUID [3620818-1458725883-216] [23/03/2016 at 09:38:00]"/>
  </r>
  <r>
    <s v="3620824-1458725887-216"/>
    <s v="Spot"/>
    <s v="3620824-1458725887-216"/>
    <n v="0"/>
    <d v="2016-03-31T00:00:00"/>
    <x v="2610"/>
    <s v="216"/>
    <s v="SELL"/>
    <n v="3.3921028466483008"/>
    <x v="0"/>
    <x v="0"/>
    <n v="36.94"/>
    <s v="Deal"/>
    <m/>
    <s v="Original Amount [EUR 10.89], Merchant Amount [EUR 10.89], Customer Amount [TRY 36.94], Status [APPROVED], Operation [3DAUTH], UUID [3620824-1458725887-216] [23/03/2016 at 09:38:00]"/>
  </r>
  <r>
    <s v="3620791-1458725838-261"/>
    <s v="Spot"/>
    <s v="3620791-1458725838-261"/>
    <n v="0"/>
    <d v="2016-03-31T00:00:00"/>
    <x v="261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91-1458725838-261] [23/03/2016 at 09:37:00]"/>
  </r>
  <r>
    <s v="3620788-1458725837-224"/>
    <s v="Spot"/>
    <s v="3620788-1458725837-224"/>
    <n v="0"/>
    <d v="2016-03-31T00:00:00"/>
    <x v="2612"/>
    <s v="224"/>
    <s v="SELL"/>
    <n v="9.9419464120726833"/>
    <x v="0"/>
    <x v="1"/>
    <n v="645.63"/>
    <s v="Deal"/>
    <m/>
    <s v="Original Amount [EUR 64.94], Merchant Amount [EUR 64.94], Customer Amount [NOK 645.63], Status [APPROVED], Operation [DIRECT], UUID [3620788-1458725837-224] [23/03/2016 at 09:37:00]"/>
  </r>
  <r>
    <s v="3620785-1458725834-200"/>
    <s v="Spot"/>
    <s v="3620785-1458725834-200"/>
    <n v="0"/>
    <d v="2016-03-31T00:00:00"/>
    <x v="2613"/>
    <s v="200"/>
    <s v="SELL"/>
    <n v="9.9419099756690983"/>
    <x v="0"/>
    <x v="1"/>
    <n v="326.89"/>
    <s v="Deal"/>
    <m/>
    <s v="Original Amount [EUR 32.88], Merchant Amount [EUR 32.88], Customer Amount [NOK 326.89], Status [APPROVED], Operation [STORED], UUID [3620785-1458725834-200] [23/03/2016 at 09:37:00]"/>
  </r>
  <r>
    <s v="3620797-1458725848-101"/>
    <s v="Spot"/>
    <s v="3620797-1458725848-101"/>
    <n v="0"/>
    <d v="2016-03-31T00:00:00"/>
    <x v="2614"/>
    <s v="101"/>
    <s v="SELL"/>
    <n v="3.3922315308453919"/>
    <x v="0"/>
    <x v="0"/>
    <n v="44.54"/>
    <s v="Deal"/>
    <m/>
    <s v="Original Amount [EUR 13.13], Merchant Amount [EUR 13.13], Customer Amount [TRY 44.54], Status [APPROVED], Operation [3DAUTH], UUID [3620797-1458725848-101] [23/03/2016 at 09:37:00]"/>
  </r>
  <r>
    <s v="3620773-1458725812-119"/>
    <s v="Spot"/>
    <s v="3620773-1458725812-119"/>
    <n v="0"/>
    <d v="2016-03-31T00:00:00"/>
    <x v="2615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3-1458725812-119] [23/03/2016 at 09:36:00]"/>
  </r>
  <r>
    <s v="3620770-1458725810-119"/>
    <s v="Spot"/>
    <s v="3620770-1458725810-119"/>
    <n v="0"/>
    <d v="2016-03-31T00:00:00"/>
    <x v="2616"/>
    <s v="119"/>
    <s v="SELL"/>
    <n v="9.9420000000000002"/>
    <x v="0"/>
    <x v="1"/>
    <n v="248.55"/>
    <s v="Deal"/>
    <m/>
    <s v="Original Amount [EUR 25], Merchant Amount [EUR 25], Customer Amount [NOK 248.55], Status [APPROVED], Operation [DIRECT], UUID [3620770-1458725810-119] [23/03/2016 at 09:36:00]"/>
  </r>
  <r>
    <s v="3620779-1458725827-107"/>
    <s v="Spot"/>
    <s v="3620779-1458725827-107"/>
    <n v="0"/>
    <d v="2016-03-31T00:00:00"/>
    <x v="2617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779-1458725827-107] [23/03/2016 at 09:37:00]"/>
  </r>
  <r>
    <s v="3620761-1458725766-124"/>
    <s v="Spot"/>
    <s v="3620761-1458725766-124"/>
    <n v="0"/>
    <d v="2016-03-31T00:00:00"/>
    <x v="2618"/>
    <s v="124"/>
    <s v="SELL"/>
    <n v="9.9423984891407002"/>
    <x v="0"/>
    <x v="1"/>
    <n v="105.29"/>
    <s v="Deal"/>
    <m/>
    <s v="Original Amount [EUR 10.59], Merchant Amount [EUR 10.59], Customer Amount [NOK 105.29], Status [APPROVED], Operation [DIRECT], UUID [3620761-1458725766-124] [23/03/2016 at 09:36:00]"/>
  </r>
  <r>
    <s v="3620758-1458725749-216"/>
    <s v="Spot"/>
    <s v="3620758-1458725749-216"/>
    <n v="0"/>
    <d v="2016-03-31T00:00:00"/>
    <x v="2619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58-1458725749-216] [23/03/2016 at 09:35:00]"/>
  </r>
  <r>
    <s v="3620743-1458725726-224"/>
    <s v="Spot"/>
    <s v="3620743-1458725726-224"/>
    <n v="0"/>
    <d v="2016-03-31T00:00:00"/>
    <x v="2620"/>
    <s v="224"/>
    <s v="SELL"/>
    <n v="9.9419700609868791"/>
    <x v="0"/>
    <x v="1"/>
    <n v="537.96"/>
    <s v="Deal"/>
    <m/>
    <s v="Original Amount [EUR 54.11], Merchant Amount [EUR 54.11], Customer Amount [NOK 537.96], Status [APPROVED], Operation [DIRECT], UUID [3620743-1458725726-224] [23/03/2016 at 09:35:00]"/>
  </r>
  <r>
    <s v="3620740-1458725714-261"/>
    <s v="Spot"/>
    <s v="3620740-1458725714-261"/>
    <n v="0"/>
    <d v="2016-03-31T00:00:00"/>
    <x v="2621"/>
    <s v="261"/>
    <s v="SELL"/>
    <n v="9.9420560747663558"/>
    <x v="0"/>
    <x v="1"/>
    <n v="106.38"/>
    <s v="Deal"/>
    <m/>
    <s v="Original Amount [EUR 10.7], Merchant Amount [EUR 10.7], Customer Amount [NOK 106.38], Status [APPROVED], Operation [DIRECT], UUID [3620740-1458725714-261] [23/03/2016 at 09:35:00]"/>
  </r>
  <r>
    <s v="3620746-1458725727-124"/>
    <s v="Spot"/>
    <s v="3620746-1458725727-124"/>
    <n v="0"/>
    <d v="2016-03-31T00:00:00"/>
    <x v="2622"/>
    <s v="124"/>
    <s v="SELL"/>
    <n v="9.9419068736141902"/>
    <x v="0"/>
    <x v="1"/>
    <n v="672.57"/>
    <s v="Deal"/>
    <m/>
    <s v="Original Amount [EUR 67.65], Merchant Amount [EUR 67.65], Customer Amount [NOK 672.57], Status [APPROVED], Operation [3DAUTH], UUID [3620746-1458725727-124] [23/03/2016 at 09:35:00]"/>
  </r>
  <r>
    <s v="3620725-1458725670-224"/>
    <s v="Spot"/>
    <s v="3620725-1458725670-224"/>
    <n v="0"/>
    <d v="2016-03-31T00:00:00"/>
    <x v="2623"/>
    <s v="224"/>
    <s v="SELL"/>
    <n v="132.97258771929828"/>
    <x v="0"/>
    <x v="3"/>
    <n v="1212.71"/>
    <s v="Deal"/>
    <m/>
    <s v="Original Amount [EUR 9.12], Merchant Amount [EUR 9.12], Customer Amount [JPY 1212.71], Status [APPROVED], Operation [DIRECT], UUID [3620725-1458725670-224] [23/03/2016 at 09:34:00]"/>
  </r>
  <r>
    <s v="3620722-1458725666-216"/>
    <s v="Spot"/>
    <s v="3620722-1458725666-216"/>
    <n v="0"/>
    <d v="2016-03-31T00:00:00"/>
    <x v="2624"/>
    <s v="216"/>
    <s v="SELL"/>
    <n v="3.3971722365038559"/>
    <x v="0"/>
    <x v="0"/>
    <n v="52.86"/>
    <s v="Deal"/>
    <m/>
    <s v="Original Amount [EUR 15.56], Merchant Amount [EUR 15.56], Customer Amount [TRY 52.86], Status [WAITING], Operation [3D], UUID [3620722-1458725666-216] [23/03/2016 at 09:34:00]"/>
  </r>
  <r>
    <s v="3620719-1458725662-119"/>
    <s v="Spot"/>
    <s v="3620719-1458725662-119"/>
    <n v="0"/>
    <d v="2016-03-31T00:00:00"/>
    <x v="2625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3DAUTH], UUID [3620719-1458725662-119] [23/03/2016 at 09:34:00]"/>
  </r>
  <r>
    <s v="3620707-1458725640-224"/>
    <s v="Spot"/>
    <s v="3620707-1458725640-224"/>
    <n v="0"/>
    <d v="2016-03-31T00:00:00"/>
    <x v="2626"/>
    <s v="224"/>
    <s v="SELL"/>
    <n v="9.941869417924238"/>
    <x v="0"/>
    <x v="1"/>
    <n v="1291.25"/>
    <s v="Deal"/>
    <m/>
    <s v="Original Amount [EUR 129.88], Merchant Amount [EUR 129.88], Customer Amount [NOK 1291.25], Status [APPROVED], Operation [DIRECT], UUID [3620707-1458725640-224] [23/03/2016 at 09:34:00]"/>
  </r>
  <r>
    <s v="3620704-1458725640-56"/>
    <s v="Spot"/>
    <s v="3620704-1458725640-56"/>
    <n v="0"/>
    <d v="2016-03-31T00:00:00"/>
    <x v="2627"/>
    <s v="56"/>
    <s v="SELL"/>
    <n v="3.3971539456662354"/>
    <x v="0"/>
    <x v="0"/>
    <n v="26.26"/>
    <s v="Deal"/>
    <m/>
    <s v="Original Amount [EUR 7.73], Merchant Amount [EUR 7.73], Customer Amount [TRY 26.26], Status [APPROVED], Operation [3DAUTH], UUID [3620704-1458725640-56] [23/03/2016 at 09:34:00]"/>
  </r>
  <r>
    <s v="3620701-1458725630-150"/>
    <s v="Spot"/>
    <s v="3620701-1458725630-150"/>
    <n v="0"/>
    <d v="2016-03-31T00:00:00"/>
    <x v="2628"/>
    <s v="150"/>
    <s v="SELL"/>
    <n v="3.3977455716586156"/>
    <x v="0"/>
    <x v="0"/>
    <n v="42.2"/>
    <s v="Deal"/>
    <m/>
    <s v="Original Amount [EUR 12.42], Merchant Amount [EUR 12.42], Customer Amount [TRY 42.2], Status [APPROVED], Operation [3DAUTH], UUID [3620701-1458725630-150] [23/03/2016 at 09:33:00]"/>
  </r>
  <r>
    <s v="3620686-1458725602-261"/>
    <s v="Spot"/>
    <s v="3620686-1458725602-261"/>
    <n v="0"/>
    <d v="2016-03-31T00:00:00"/>
    <x v="2629"/>
    <s v="261"/>
    <s v="SELL"/>
    <n v="9.9420560747663558"/>
    <x v="0"/>
    <x v="1"/>
    <n v="212.76"/>
    <s v="Deal"/>
    <m/>
    <s v="Original Amount [EUR 21.4], Merchant Amount [EUR 21.4], Customer Amount [NOK 212.76], Status [APPROVED], Operation [DIRECT], UUID [3620686-1458725602-261] [23/03/2016 at 09:33:00]"/>
  </r>
  <r>
    <s v="3620674-1458725569-161"/>
    <s v="Spot"/>
    <s v="3620674-1458725569-161"/>
    <n v="0"/>
    <d v="2016-03-31T00:00:00"/>
    <x v="2630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674-1458725569-161] [23/03/2016 at 09:32:00]"/>
  </r>
  <r>
    <s v="3620662-1458725563-224"/>
    <s v="Spot"/>
    <s v="3620662-1458725563-224"/>
    <n v="0"/>
    <d v="2016-03-31T00:00:00"/>
    <x v="2631"/>
    <s v="224"/>
    <s v="SELL"/>
    <n v="9.941056609365738"/>
    <x v="0"/>
    <x v="1"/>
    <n v="2683.29"/>
    <s v="Deal"/>
    <m/>
    <s v="Original Amount [EUR 269.92], Merchant Amount [EUR 269.92], Customer Amount [NOK 2683.29], Status [APPROVED], Operation [DIRECT], UUID [3620662-1458725563-224] [23/03/2016 at 09:32:00]"/>
  </r>
  <r>
    <s v="3620671-1458725568-107"/>
    <s v="Spot"/>
    <s v="3620671-1458725568-107"/>
    <n v="0"/>
    <d v="2016-03-31T00:00:00"/>
    <x v="2632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671-1458725568-107] [23/03/2016 at 09:32:00]"/>
  </r>
  <r>
    <s v="3620677-1458725569-107"/>
    <s v="Spot"/>
    <s v="3620677-1458725569-107"/>
    <n v="0"/>
    <d v="2016-03-31T00:00:00"/>
    <x v="2633"/>
    <s v="107"/>
    <s v="SELL"/>
    <n v="3.3923679060665362"/>
    <x v="0"/>
    <x v="0"/>
    <n v="34.67"/>
    <s v="Deal"/>
    <m/>
    <s v="Original Amount [EUR 10.22], Merchant Amount [EUR 10.22], Customer Amount [TRY 34.67], Status [APPROVED], Operation [3DAUTH], UUID [3620677-1458725569-107] [23/03/2016 at 09:32:00]"/>
  </r>
  <r>
    <s v="3620605-1458725525-241"/>
    <s v="Spot"/>
    <s v="3620605-1458725525-241"/>
    <n v="0"/>
    <d v="2016-03-31T00:00:00"/>
    <x v="2634"/>
    <s v="241"/>
    <s v="SELL"/>
    <n v="0.83294431477159059"/>
    <x v="0"/>
    <x v="4"/>
    <n v="24.98"/>
    <s v="Deal"/>
    <m/>
    <s v="Original Amount [EUR 29.99], Merchant Amount [EUR 29.99], Customer Amount [GBP 24.98], Status [APPROVED], Operation [DIRECT], UUID [3620605-1458725525-241] [23/03/2016 at 09:32:00]"/>
  </r>
  <r>
    <s v="3620590-1458725518-199"/>
    <s v="Spot"/>
    <s v="3620590-1458725518-199"/>
    <n v="0"/>
    <d v="2016-03-31T00:00:00"/>
    <x v="2635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590-1458725518-199] [23/03/2016 at 09:31:00]"/>
  </r>
  <r>
    <s v="3620581-1458725509-224"/>
    <s v="Spot"/>
    <s v="3620581-1458725509-224"/>
    <n v="0"/>
    <d v="2016-03-31T00:00:00"/>
    <x v="2636"/>
    <s v="224"/>
    <s v="SELL"/>
    <n v="9.9410738117236424"/>
    <x v="0"/>
    <x v="1"/>
    <n v="968.36"/>
    <s v="Deal"/>
    <m/>
    <s v="Original Amount [EUR 97.41], Merchant Amount [EUR 97.41], Customer Amount [NOK 968.36], Status [APPROVED], Operation [DIRECT], UUID [3620581-1458725509-224] [23/03/2016 at 09:31:00]"/>
  </r>
  <r>
    <s v="3620578-1458725508-82"/>
    <s v="Spot"/>
    <s v="3620578-1458725508-82"/>
    <n v="0"/>
    <d v="2016-03-31T00:00:00"/>
    <x v="2637"/>
    <s v="82"/>
    <s v="SELL"/>
    <n v="0.84033613445378152"/>
    <x v="0"/>
    <x v="4"/>
    <n v="1"/>
    <s v="Deal"/>
    <m/>
    <s v="Original Amount [GBP 1], Merchant Amount [EUR 1.19], Customer Amount [GBP 1], Status [APPROVED], Operation [STORED], UUID [3620578-1458725508-82] [23/03/2016 at 09:31:00]"/>
  </r>
  <r>
    <s v="3620575-1458725508-161"/>
    <s v="Spot"/>
    <s v="3620575-1458725508-161"/>
    <n v="0"/>
    <d v="2016-03-31T00:00:00"/>
    <x v="2638"/>
    <s v="161"/>
    <s v="SELL"/>
    <n v="1.5509830818472794"/>
    <x v="0"/>
    <x v="5"/>
    <n v="33.92"/>
    <s v="Deal"/>
    <m/>
    <s v="Original Amount [EUR 21.87], Merchant Amount [EUR 21.87], Customer Amount [AUD 33.92], Status [APPROVED], Operation [STORED], UUID [3620575-1458725508-161] [23/03/2016 at 09:31:00]"/>
  </r>
  <r>
    <s v="3620566-1458725500-126"/>
    <s v="Spot"/>
    <s v="3620566-1458725500-126"/>
    <n v="0"/>
    <d v="2016-03-31T00:00:00"/>
    <x v="2639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566-1458725500-126] [23/03/2016 at 09:31:00]"/>
  </r>
  <r>
    <s v="3620560-1458725498-216"/>
    <s v="Spot"/>
    <s v="3620560-1458725498-216"/>
    <n v="0"/>
    <d v="2016-03-31T00:00:00"/>
    <x v="2640"/>
    <s v="216"/>
    <s v="SELL"/>
    <n v="3.3920308483290489"/>
    <x v="0"/>
    <x v="0"/>
    <n v="158.34"/>
    <s v="Deal"/>
    <m/>
    <s v="Original Amount [EUR 46.68], Merchant Amount [EUR 46.68], Customer Amount [TRY 158.34], Status [APPROVED], Operation [3DAUTH], UUID [3620560-1458725498-216] [23/03/2016 at 09:31:00]"/>
  </r>
  <r>
    <s v="3620515-1458725455-187"/>
    <s v="Spot"/>
    <s v="3620515-1458725455-187"/>
    <n v="0"/>
    <d v="2016-03-31T00:00:00"/>
    <x v="2641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515-1458725455-187] [23/03/2016 at 09:30:00]"/>
  </r>
  <r>
    <s v="3620512-1458725454-161"/>
    <s v="Spot"/>
    <s v="3620512-1458725454-161"/>
    <n v="0"/>
    <d v="2016-03-31T00:00:00"/>
    <x v="2642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12-1458725454-161] [23/03/2016 at 09:30:00]"/>
  </r>
  <r>
    <s v="3620536-1458725480-264"/>
    <s v="Spot"/>
    <s v="3620536-1458725480-264"/>
    <n v="0"/>
    <d v="2016-03-31T00:00:00"/>
    <x v="2643"/>
    <s v="264"/>
    <s v="SELL"/>
    <n v="3.3977401129943505"/>
    <x v="0"/>
    <x v="0"/>
    <n v="60.14"/>
    <s v="Deal"/>
    <m/>
    <s v="Original Amount [TRY 57], Merchant Amount [EUR 17.7], Customer Amount [TRY 60.14], Status [APPROVED], Operation [3DAUTH], UUID [3620536-1458725480-264] [23/03/2016 at 09:31:00]"/>
  </r>
  <r>
    <s v="3620500-1458725443-161"/>
    <s v="Spot"/>
    <s v="3620500-1458725443-161"/>
    <n v="0"/>
    <d v="2016-03-31T00:00:00"/>
    <x v="2644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500-1458725443-161] [23/03/2016 at 09:30:00]"/>
  </r>
  <r>
    <s v="3620479-1458725412-119"/>
    <s v="Spot"/>
    <s v="3620479-1458725412-119"/>
    <n v="0"/>
    <d v="2016-03-31T00:00:00"/>
    <x v="2645"/>
    <s v="119"/>
    <s v="SELL"/>
    <n v="9.9410799999999995"/>
    <x v="0"/>
    <x v="1"/>
    <n v="2485.27"/>
    <s v="Deal"/>
    <m/>
    <s v="Original Amount [EUR 250], Merchant Amount [EUR 250], Customer Amount [NOK 2485.27], Status [APPROVED], Operation [DIRECT], UUID [3620479-1458725412-119] [23/03/2016 at 09:30:00]"/>
  </r>
  <r>
    <s v="3620476-1458725411-161"/>
    <s v="Spot"/>
    <s v="3620476-1458725411-161"/>
    <n v="0"/>
    <d v="2016-03-31T00:00:00"/>
    <x v="2646"/>
    <s v="161"/>
    <s v="SELL"/>
    <n v="1.5507660644866226"/>
    <x v="0"/>
    <x v="5"/>
    <n v="135.63"/>
    <s v="Deal"/>
    <m/>
    <s v="Original Amount [EUR 87.46], Merchant Amount [EUR 87.46], Customer Amount [AUD 135.63], Status [APPROVED], Operation [STORED], UUID [3620476-1458725411-161] [23/03/2016 at 09:30:00]"/>
  </r>
  <r>
    <s v="3620452-1458725390-145"/>
    <s v="Spot"/>
    <s v="3620452-1458725390-145"/>
    <n v="0"/>
    <d v="2016-03-31T00:00:00"/>
    <x v="2647"/>
    <s v="145"/>
    <s v="SELL"/>
    <n v="9.9506599622878689"/>
    <x v="0"/>
    <x v="1"/>
    <n v="316.63"/>
    <s v="Deal"/>
    <m/>
    <s v="Original Amount [EUR 31.82], Merchant Amount [EUR 31.82], Customer Amount [NOK 316.63], Status [APPROVED], Operation [DIRECT], UUID [3620452-1458725390-145] [23/03/2016 at 09:29:00]"/>
  </r>
  <r>
    <s v="3620443-1458725375-126"/>
    <s v="Spot"/>
    <s v="3620443-1458725375-126"/>
    <n v="0"/>
    <d v="2016-03-31T00:00:00"/>
    <x v="2648"/>
    <s v="126"/>
    <s v="SELL"/>
    <n v="9.9512195121951219"/>
    <x v="0"/>
    <x v="1"/>
    <n v="102"/>
    <s v="Deal"/>
    <m/>
    <s v="Original Amount [EUR 10.25], Merchant Amount [EUR 10.25], Customer Amount [NOK 102], Status [APPROVED], Operation [DIRECT], UUID [3620443-1458725375-126] [23/03/2016 at 09:29:00]"/>
  </r>
  <r>
    <s v="3620467-1458725397-119"/>
    <s v="Spot"/>
    <s v="3620467-1458725397-119"/>
    <n v="0"/>
    <d v="2016-03-31T00:00:00"/>
    <x v="2649"/>
    <s v="119"/>
    <s v="SELL"/>
    <n v="9.950800000000001"/>
    <x v="0"/>
    <x v="1"/>
    <n v="248.77"/>
    <s v="Deal"/>
    <m/>
    <s v="Original Amount [EUR 25], Merchant Amount [EUR 25], Customer Amount [NOK 248.77], Status [APPROVED], Operation [3DAUTH], UUID [3620467-1458725397-119] [23/03/2016 at 09:29:00]"/>
  </r>
  <r>
    <s v="3620458-1458725392-216"/>
    <s v="Spot"/>
    <s v="3620458-1458725392-216"/>
    <n v="0"/>
    <d v="2016-03-31T00:00:00"/>
    <x v="2650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58-1458725392-216] [23/03/2016 at 09:29:00]"/>
  </r>
  <r>
    <s v="3620449-1458725378-216"/>
    <s v="Spot"/>
    <s v="3620449-1458725378-216"/>
    <n v="0"/>
    <d v="2016-03-31T00:00:00"/>
    <x v="265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449-1458725378-216] [23/03/2016 at 09:29:00]"/>
  </r>
  <r>
    <s v="3620446-1458725376-216"/>
    <s v="Spot"/>
    <s v="3620446-1458725376-216"/>
    <n v="0"/>
    <d v="2016-03-31T00:00:00"/>
    <x v="2652"/>
    <s v="216"/>
    <s v="SELL"/>
    <n v="3.3974471830985915"/>
    <x v="0"/>
    <x v="0"/>
    <n v="77.19"/>
    <s v="Deal"/>
    <m/>
    <s v="Original Amount [EUR 22.72], Merchant Amount [EUR 22.72], Customer Amount [TRY 77.19], Status [APPROVED], Operation [3DAUTH], UUID [3620446-1458725376-216] [23/03/2016 at 09:29:00]"/>
  </r>
  <r>
    <s v="3620416-1458725335-107"/>
    <s v="Spot"/>
    <s v="3620416-1458725335-107"/>
    <n v="0"/>
    <d v="2016-03-31T00:00:00"/>
    <x v="2653"/>
    <s v="107"/>
    <s v="SELL"/>
    <n v="3.3976377952755907"/>
    <x v="0"/>
    <x v="0"/>
    <n v="43.15"/>
    <s v="Deal"/>
    <m/>
    <s v="Original Amount [EUR 12.7], Merchant Amount [EUR 12.7], Customer Amount [TRY 43.15], Status [APPROVED], Operation [3DAUTH], UUID [3620416-1458725335-107] [23/03/2016 at 09:28:00]"/>
  </r>
  <r>
    <s v="3620404-1458725322-216"/>
    <s v="Spot"/>
    <s v="3620404-1458725322-216"/>
    <n v="0"/>
    <d v="2016-03-31T00:00:00"/>
    <x v="2654"/>
    <s v="216"/>
    <s v="SELL"/>
    <n v="3.3972299168975066"/>
    <x v="0"/>
    <x v="0"/>
    <n v="61.32"/>
    <s v="Deal"/>
    <m/>
    <s v="Original Amount [EUR 18.05], Merchant Amount [EUR 18.05], Customer Amount [TRY 61.32], Status [APPROVED], Operation [3DAUTH], UUID [3620404-1458725322-216] [23/03/2016 at 09:28:00]"/>
  </r>
  <r>
    <s v="3620374-1458725268-261"/>
    <s v="Spot"/>
    <s v="3620374-1458725268-261"/>
    <n v="0"/>
    <d v="2016-03-31T00:00:00"/>
    <x v="2655"/>
    <s v="261"/>
    <s v="SELL"/>
    <n v="9.95067497403946"/>
    <x v="0"/>
    <x v="1"/>
    <n v="191.65"/>
    <s v="Deal"/>
    <m/>
    <s v="Original Amount [EUR 19.26], Merchant Amount [EUR 19.26], Customer Amount [NOK 191.65], Status [APPROVED], Operation [DIRECT], UUID [3620374-1458725268-261] [23/03/2016 at 09:27:00]"/>
  </r>
  <r>
    <s v="3620398-1458725303-203"/>
    <s v="Spot"/>
    <s v="3620398-1458725303-203"/>
    <n v="0"/>
    <d v="2016-03-31T00:00:00"/>
    <x v="2656"/>
    <s v="203"/>
    <s v="SELL"/>
    <n v="3.3974193548387093"/>
    <x v="0"/>
    <x v="0"/>
    <n v="157.97999999999999"/>
    <s v="Deal"/>
    <m/>
    <s v="Original Amount [EUR 46.5], Merchant Amount [EUR 46.5], Customer Amount [TRY 157.98], Status [APPROVED], Operation [3DAUTH], UUID [3620398-1458725303-203] [23/03/2016 at 09:28:00]"/>
  </r>
  <r>
    <s v="3620362-1458725256-107"/>
    <s v="Spot"/>
    <s v="3620362-1458725256-107"/>
    <n v="0"/>
    <d v="2016-03-31T00:00:00"/>
    <x v="2657"/>
    <s v="107"/>
    <s v="SELL"/>
    <n v="3.3976014760147599"/>
    <x v="0"/>
    <x v="0"/>
    <n v="36.83"/>
    <s v="Deal"/>
    <m/>
    <s v="Original Amount [EUR 10.84], Merchant Amount [EUR 10.84], Customer Amount [TRY 36.83], Status [WAITING], Operation [3D], UUID [3620362-1458725256-107] [23/03/2016 at 09:27:00]"/>
  </r>
  <r>
    <s v="3620383-1458725285-124"/>
    <s v="Spot"/>
    <s v="3620383-1458725285-124"/>
    <n v="0"/>
    <d v="2016-03-31T00:00:00"/>
    <x v="2658"/>
    <s v="124"/>
    <s v="SELL"/>
    <n v="9.950897072710104"/>
    <x v="0"/>
    <x v="1"/>
    <n v="210.76"/>
    <s v="Deal"/>
    <m/>
    <s v="Original Amount [EUR 21.18], Merchant Amount [EUR 21.18], Customer Amount [NOK 210.76], Status [APPROVED], Operation [3DAUTH], UUID [3620383-1458725285-124] [23/03/2016 at 09:28:00]"/>
  </r>
  <r>
    <s v="3620368-1458725264-216"/>
    <s v="Spot"/>
    <s v="3620368-1458725264-216"/>
    <n v="0"/>
    <d v="2016-03-31T00:00:00"/>
    <x v="265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368-1458725264-216] [23/03/2016 at 09:27:00]"/>
  </r>
  <r>
    <s v="3620350-1458725241-119"/>
    <s v="Spot"/>
    <s v="3620350-1458725241-119"/>
    <n v="0"/>
    <d v="2016-03-31T00:00:00"/>
    <x v="2660"/>
    <s v="119"/>
    <s v="SELL"/>
    <n v="9.9505499999999998"/>
    <x v="0"/>
    <x v="1"/>
    <n v="1990.11"/>
    <s v="Deal"/>
    <m/>
    <s v="Original Amount [EUR 200], Merchant Amount [EUR 200], Customer Amount [NOK 1990.11], Status [APPROVED], Operation [DIRECT], UUID [3620350-1458725241-119] [23/03/2016 at 09:27:00]"/>
  </r>
  <r>
    <s v="3620347-1458725235-187"/>
    <s v="Spot"/>
    <s v="3620347-1458725235-187"/>
    <n v="0"/>
    <d v="2016-03-31T00:00:00"/>
    <x v="2661"/>
    <s v="187"/>
    <s v="SELL"/>
    <n v="9.9505605656703153"/>
    <x v="0"/>
    <x v="1"/>
    <n v="5263.15"/>
    <s v="Deal"/>
    <m/>
    <s v="Original Amount [EUR 528.93], Merchant Amount [EUR 528.93], Customer Amount [NOK 5263.15], Status [APPROVED], Operation [DIRECT], UUID [3620347-1458725235-187] [23/03/2016 at 09:27:00]"/>
  </r>
  <r>
    <s v="3620329-1458725185-134"/>
    <s v="Spot"/>
    <s v="3620329-1458725185-134"/>
    <n v="0"/>
    <d v="2016-03-31T00:00:00"/>
    <x v="2662"/>
    <s v="134"/>
    <s v="SELL"/>
    <n v="132.8329596412556"/>
    <x v="0"/>
    <x v="3"/>
    <n v="1184.8699999999999"/>
    <s v="Deal"/>
    <m/>
    <s v="Original Amount [EUR 8.92], Merchant Amount [EUR 8.92], Customer Amount [JPY 1184.87], Status [APPROVED], Operation [STORED], UUID [3620329-1458725185-134] [23/03/2016 at 09:26:00]"/>
  </r>
  <r>
    <s v="3620335-1458725211-107"/>
    <s v="Spot"/>
    <s v="3620335-1458725211-107"/>
    <n v="0"/>
    <d v="2016-03-31T00:00:00"/>
    <x v="2663"/>
    <s v="107"/>
    <s v="SELL"/>
    <n v="3.3925112976113621"/>
    <x v="0"/>
    <x v="0"/>
    <n v="52.55"/>
    <s v="Deal"/>
    <m/>
    <s v="Original Amount [EUR 15.49], Merchant Amount [EUR 15.49], Customer Amount [TRY 52.55], Status [APPROVED], Operation [3DAUTH], UUID [3620335-1458725211-107] [23/03/2016 at 09:26:00]"/>
  </r>
  <r>
    <s v="3620332-1458725192-126"/>
    <s v="Spot"/>
    <s v="3620332-1458725192-126"/>
    <n v="0"/>
    <d v="2016-03-31T00:00:00"/>
    <x v="2664"/>
    <s v="126"/>
    <s v="SELL"/>
    <n v="9.9410731707317073"/>
    <x v="0"/>
    <x v="1"/>
    <n v="1018.96"/>
    <s v="Deal"/>
    <m/>
    <s v="Original Amount [EUR 102.5], Merchant Amount [EUR 102.5], Customer Amount [NOK 1018.96], Status [APPROVED], Operation [3DAUTH], UUID [3620332-1458725192-126] [23/03/2016 at 09:26:00]"/>
  </r>
  <r>
    <s v="3620311-1458725128-126"/>
    <s v="Spot"/>
    <s v="3620311-1458725128-126"/>
    <n v="0"/>
    <d v="2016-03-31T00:00:00"/>
    <x v="2665"/>
    <s v="126"/>
    <s v="SELL"/>
    <n v="9.9410846664065549"/>
    <x v="0"/>
    <x v="1"/>
    <n v="254.79"/>
    <s v="Deal"/>
    <m/>
    <s v="Original Amount [EUR 25.63], Merchant Amount [EUR 25.63], Customer Amount [NOK 254.79], Status [APPROVED], Operation [DIRECT], UUID [3620311-1458725128-126] [23/03/2016 at 09:25:00]"/>
  </r>
  <r>
    <s v="3620305-1458725116-199"/>
    <s v="Spot"/>
    <s v="3620305-1458725116-199"/>
    <n v="0"/>
    <d v="2016-03-31T00:00:00"/>
    <x v="2666"/>
    <s v="199"/>
    <s v="SELL"/>
    <n v="9.9410681399631677"/>
    <x v="0"/>
    <x v="1"/>
    <n v="107.96"/>
    <s v="Deal"/>
    <m/>
    <s v="Original Amount [EUR 10.86], Merchant Amount [EUR 10.86], Customer Amount [NOK 107.96], Status [APPROVED], Operation [DIRECT], UUID [3620305-1458725116-199] [23/03/2016 at 09:25:00]"/>
  </r>
  <r>
    <s v="3620299-1458725099-82"/>
    <s v="Spot"/>
    <s v="3620299-1458725099-82"/>
    <n v="0"/>
    <d v="2016-03-31T00:00:00"/>
    <x v="2667"/>
    <s v="82"/>
    <s v="SELL"/>
    <n v="0.83533653846153844"/>
    <x v="0"/>
    <x v="4"/>
    <n v="6.95"/>
    <s v="Deal"/>
    <m/>
    <s v="Original Amount [GBP 6.95], Merchant Amount [EUR 8.32], Customer Amount [GBP 6.95], Status [APPROVED], Operation [DIRECT], UUID [3620299-1458725099-82] [23/03/2016 at 09:24:00]"/>
  </r>
  <r>
    <s v="3620293-1458725093-126"/>
    <s v="Spot"/>
    <s v="3620293-1458725093-126"/>
    <n v="0"/>
    <d v="2016-03-31T00:00:00"/>
    <x v="2668"/>
    <s v="126"/>
    <s v="SELL"/>
    <n v="9.9414634146341463"/>
    <x v="0"/>
    <x v="1"/>
    <n v="203.8"/>
    <s v="Deal"/>
    <m/>
    <s v="Original Amount [EUR 20.5], Merchant Amount [EUR 20.5], Customer Amount [NOK 203.8], Status [APPROVED], Operation [DIRECT], UUID [3620293-1458725093-126] [23/03/2016 at 09:24:00]"/>
  </r>
  <r>
    <s v="3620308-1458725119-216"/>
    <s v="Spot"/>
    <s v="3620308-1458725119-216"/>
    <n v="0"/>
    <d v="2016-03-31T00:00:00"/>
    <x v="2669"/>
    <s v="216"/>
    <s v="SELL"/>
    <n v="3.3920308483290489"/>
    <x v="0"/>
    <x v="0"/>
    <n v="79.17"/>
    <s v="Deal"/>
    <m/>
    <s v="Original Amount [EUR 23.34], Merchant Amount [EUR 23.34], Customer Amount [TRY 79.17], Status [APPROVED], Operation [3DAUTH], UUID [3620308-1458725119-216] [23/03/2016 at 09:25:00]"/>
  </r>
  <r>
    <s v="3620278-1458725084-224"/>
    <s v="Spot"/>
    <s v="3620278-1458725084-224"/>
    <n v="0"/>
    <d v="2016-03-31T00:00:00"/>
    <x v="2670"/>
    <s v="224"/>
    <s v="SELL"/>
    <n v="132.83242785226537"/>
    <x v="0"/>
    <x v="3"/>
    <n v="26650.17"/>
    <s v="Deal"/>
    <m/>
    <s v="Original Amount [EUR 200.63], Merchant Amount [EUR 200.63], Customer Amount [JPY 26650.17], Status [APPROVED], Operation [DIRECT], UUID [3620278-1458725084-224] [23/03/2016 at 09:24:00]"/>
  </r>
  <r>
    <s v="3620272-1458725073-126"/>
    <s v="Spot"/>
    <s v="3620272-1458725073-126"/>
    <n v="0"/>
    <d v="2016-03-31T00:00:00"/>
    <x v="2671"/>
    <s v="126"/>
    <s v="SELL"/>
    <n v="9.9414634146341463"/>
    <x v="0"/>
    <x v="1"/>
    <n v="101.9"/>
    <s v="Deal"/>
    <m/>
    <s v="Original Amount [EUR 10.25], Merchant Amount [EUR 10.25], Customer Amount [NOK 101.9], Status [APPROVED], Operation [DIRECT], UUID [3620272-1458725073-126] [23/03/2016 at 09:24:00]"/>
  </r>
  <r>
    <s v="3620263-1458725059-224"/>
    <s v="Spot"/>
    <s v="3620263-1458725059-224"/>
    <n v="0"/>
    <d v="2016-03-31T00:00:00"/>
    <x v="2672"/>
    <s v="224"/>
    <s v="SELL"/>
    <n v="9.9417744916820698"/>
    <x v="0"/>
    <x v="1"/>
    <n v="107.57"/>
    <s v="Deal"/>
    <m/>
    <s v="Original Amount [EUR 10.82], Merchant Amount [EUR 10.82], Customer Amount [NOK 107.57], Status [APPROVED], Operation [DIRECT], UUID [3620263-1458725059-224] [23/03/2016 at 09:24:00]"/>
  </r>
  <r>
    <s v="3620248-1458725033-126"/>
    <s v="Spot"/>
    <s v="3620248-1458725033-126"/>
    <n v="0"/>
    <d v="2016-03-31T00:00:00"/>
    <x v="2673"/>
    <s v="126"/>
    <s v="SELL"/>
    <n v="9.9546341463414638"/>
    <x v="0"/>
    <x v="1"/>
    <n v="408.14"/>
    <s v="Deal"/>
    <m/>
    <s v="Original Amount [EUR 41], Merchant Amount [EUR 41], Customer Amount [NOK 408.14], Status [APPROVED], Operation [DIRECT], UUID [3620248-1458725033-126] [23/03/2016 at 09:23:00]"/>
  </r>
  <r>
    <s v="3620245-1458725030-224"/>
    <s v="Spot"/>
    <s v="3620245-1458725030-224"/>
    <n v="0"/>
    <d v="2016-03-31T00:00:00"/>
    <x v="2674"/>
    <s v="224"/>
    <s v="SELL"/>
    <n v="9.9547274407145068"/>
    <x v="0"/>
    <x v="1"/>
    <n v="323.23"/>
    <s v="Deal"/>
    <m/>
    <s v="Original Amount [EUR 32.47], Merchant Amount [EUR 32.47], Customer Amount [NOK 323.23], Status [APPROVED], Operation [DIRECT], UUID [3620245-1458725030-224] [23/03/2016 at 09:23:00]"/>
  </r>
  <r>
    <s v="3620242-1458725027-224"/>
    <s v="Spot"/>
    <s v="3620242-1458725027-224"/>
    <n v="0"/>
    <d v="2016-03-31T00:00:00"/>
    <x v="2675"/>
    <s v="224"/>
    <s v="SELL"/>
    <n v="9.9547218628719278"/>
    <x v="0"/>
    <x v="1"/>
    <n v="538.65"/>
    <s v="Deal"/>
    <m/>
    <s v="Original Amount [EUR 54.11], Merchant Amount [EUR 54.11], Customer Amount [NOK 538.65], Status [APPROVED], Operation [DIRECT], UUID [3620242-1458725027-224] [23/03/2016 at 09:23:00]"/>
  </r>
  <r>
    <s v="3620275-1458725079-160"/>
    <s v="Spot"/>
    <s v="3620275-1458725079-160"/>
    <n v="0"/>
    <d v="2016-03-31T00:00:00"/>
    <x v="2676"/>
    <s v="160"/>
    <s v="SELL"/>
    <n v="3.3966516419832584"/>
    <x v="0"/>
    <x v="0"/>
    <n v="105.5"/>
    <s v="Deal"/>
    <m/>
    <s v="Original Amount [EUR 31.06], Merchant Amount [EUR 31.06], Customer Amount [TRY 105.5], Status [APPROVED], Operation [3DAUTH], UUID [3620275-1458725079-160] [23/03/2016 at 09:24:00]"/>
  </r>
  <r>
    <s v="3620266-1458725071-216"/>
    <s v="Spot"/>
    <s v="3620266-1458725071-216"/>
    <n v="0"/>
    <d v="2016-03-31T00:00:00"/>
    <x v="2677"/>
    <s v="216"/>
    <s v="SELL"/>
    <n v="3.3966942148760331"/>
    <x v="0"/>
    <x v="0"/>
    <n v="36.99"/>
    <s v="Deal"/>
    <m/>
    <s v="Original Amount [EUR 10.89], Merchant Amount [EUR 10.89], Customer Amount [TRY 36.99], Status [APPROVED], Operation [3DAUTH], UUID [3620266-1458725071-216] [23/03/2016 at 09:24:00]"/>
  </r>
  <r>
    <s v="3620215-1458724998-224"/>
    <s v="Spot"/>
    <s v="3620215-1458724998-224"/>
    <n v="0"/>
    <d v="2016-03-31T00:00:00"/>
    <x v="2678"/>
    <s v="224"/>
    <s v="SELL"/>
    <n v="9.9546084546084543"/>
    <x v="0"/>
    <x v="1"/>
    <n v="861.87"/>
    <s v="Deal"/>
    <m/>
    <s v="Original Amount [EUR 86.58], Merchant Amount [EUR 86.58], Customer Amount [NOK 861.87], Status [APPROVED], Operation [DIRECT], UUID [3620215-1458724998-224] [23/03/2016 at 09:23:00]"/>
  </r>
  <r>
    <s v="3620209-1458724992-119"/>
    <s v="Spot"/>
    <s v="3620209-1458724992-119"/>
    <n v="0"/>
    <d v="2016-03-31T00:00:00"/>
    <x v="2679"/>
    <s v="119"/>
    <s v="SELL"/>
    <n v="9.9548000000000005"/>
    <x v="0"/>
    <x v="1"/>
    <n v="248.87"/>
    <s v="Deal"/>
    <m/>
    <s v="Original Amount [EUR 25], Merchant Amount [EUR 25], Customer Amount [NOK 248.87], Status [APPROVED], Operation [DIRECT], UUID [3620209-1458724992-119] [23/03/2016 at 09:23:00]"/>
  </r>
  <r>
    <s v="3620206-1458724986-224"/>
    <s v="Spot"/>
    <s v="3620206-1458724986-224"/>
    <n v="0"/>
    <d v="2016-03-31T00:00:00"/>
    <x v="2680"/>
    <s v="224"/>
    <s v="SELL"/>
    <n v="132.8828947368421"/>
    <x v="0"/>
    <x v="3"/>
    <n v="6059.46"/>
    <s v="Deal"/>
    <m/>
    <s v="Original Amount [EUR 45.6], Merchant Amount [EUR 45.6], Customer Amount [JPY 6059.46], Status [APPROVED], Operation [DIRECT], UUID [3620206-1458724986-224] [23/03/2016 at 09:23:00]"/>
  </r>
  <r>
    <s v="3620200-1458724967-224"/>
    <s v="Spot"/>
    <s v="3620200-1458724967-224"/>
    <n v="0"/>
    <d v="2016-03-31T00:00:00"/>
    <x v="2681"/>
    <s v="224"/>
    <s v="SELL"/>
    <n v="132.88291746641076"/>
    <x v="0"/>
    <x v="3"/>
    <n v="4846.24"/>
    <s v="Deal"/>
    <m/>
    <s v="Original Amount [EUR 36.47], Merchant Amount [EUR 36.47], Customer Amount [JPY 4846.24], Status [APPROVED], Operation [DIRECT], UUID [3620200-1458724967-224] [23/03/2016 at 09:22:00]"/>
  </r>
  <r>
    <s v="3620197-1458724965-224"/>
    <s v="Spot"/>
    <s v="3620197-1458724965-224"/>
    <n v="0"/>
    <d v="2016-03-31T00:00:00"/>
    <x v="2682"/>
    <s v="224"/>
    <s v="SELL"/>
    <n v="9.9548983364140469"/>
    <x v="0"/>
    <x v="1"/>
    <n v="269.27999999999997"/>
    <s v="Deal"/>
    <m/>
    <s v="Original Amount [EUR 27.05], Merchant Amount [EUR 27.05], Customer Amount [NOK 269.28], Status [APPROVED], Operation [DIRECT], UUID [3620197-1458724965-224] [23/03/2016 at 09:22:00]"/>
  </r>
  <r>
    <s v="3620194-1458724951-125"/>
    <s v="Spot"/>
    <s v="3620194-1458724951-125"/>
    <n v="0"/>
    <d v="2016-03-31T00:00:00"/>
    <x v="2683"/>
    <s v="125"/>
    <s v="SELL"/>
    <n v="9.954559999999999"/>
    <x v="0"/>
    <x v="1"/>
    <n v="9954.56"/>
    <s v="Deal"/>
    <m/>
    <s v="Original Amount [EUR 1000], Merchant Amount [EUR 1000], Customer Amount [NOK 9954.56], Status [APPROVED], Operation [DIRECT], UUID [3620194-1458724951-125] [23/03/2016 at 09:22:00]"/>
  </r>
  <r>
    <s v="3620182-1458724937-261"/>
    <s v="Spot"/>
    <s v="3620182-1458724937-261"/>
    <n v="0"/>
    <d v="2016-03-31T00:00:00"/>
    <x v="2684"/>
    <s v="261"/>
    <s v="SELL"/>
    <n v="9.9551401869158873"/>
    <x v="0"/>
    <x v="1"/>
    <n v="106.52"/>
    <s v="Deal"/>
    <m/>
    <s v="Original Amount [EUR 10.7], Merchant Amount [EUR 10.7], Customer Amount [NOK 106.52], Status [APPROVED], Operation [DIRECT], UUID [3620182-1458724937-261] [23/03/2016 at 09:22:00]"/>
  </r>
  <r>
    <s v="3620176-1458724918-200"/>
    <s v="Spot"/>
    <s v="3620176-1458724918-200"/>
    <n v="0"/>
    <d v="2016-03-31T00:00:00"/>
    <x v="2685"/>
    <s v="200"/>
    <s v="SELL"/>
    <n v="9.954600000000001"/>
    <x v="0"/>
    <x v="1"/>
    <n v="497.73"/>
    <s v="Deal"/>
    <m/>
    <s v="Original Amount [EUR 50], Merchant Amount [EUR 50], Customer Amount [NOK 497.73], Status [APPROVED], Operation [STORED], UUID [3620176-1458724918-200] [23/03/2016 at 09:21:00]"/>
  </r>
  <r>
    <s v="3620167-1458724903-264"/>
    <s v="Spot"/>
    <s v="3620167-1458724903-264"/>
    <n v="0"/>
    <d v="2016-03-31T00:00:00"/>
    <x v="2686"/>
    <s v="264"/>
    <s v="SELL"/>
    <n v="3.3913043478260874"/>
    <x v="0"/>
    <x v="0"/>
    <n v="17.940000000000001"/>
    <s v="Deal"/>
    <m/>
    <s v="Original Amount [TRY 17], Merchant Amount [EUR 5.29], Customer Amount [TRY 17.94], Status [APPROVED], Operation [3DAUTH], UUID [3620167-1458724903-264] [23/03/2016 at 09:21:00]"/>
  </r>
  <r>
    <s v="3620155-1458724867-134"/>
    <s v="Spot"/>
    <s v="3620155-1458724867-134"/>
    <n v="0"/>
    <d v="2016-03-31T00:00:00"/>
    <x v="2687"/>
    <s v="134"/>
    <s v="SELL"/>
    <n v="132.88295964125561"/>
    <x v="0"/>
    <x v="3"/>
    <n v="5926.58"/>
    <s v="Deal"/>
    <m/>
    <s v="Original Amount [EUR 44.6], Merchant Amount [EUR 44.6], Customer Amount [JPY 5926.58], Status [APPROVED], Operation [STORED], UUID [3620155-1458724867-134] [23/03/2016 at 09:21:00]"/>
  </r>
  <r>
    <s v="3620146-1458724860-126"/>
    <s v="Spot"/>
    <s v="3620146-1458724860-126"/>
    <n v="0"/>
    <d v="2016-03-31T00:00:00"/>
    <x v="2688"/>
    <s v="126"/>
    <s v="SELL"/>
    <n v="9.9411382113821141"/>
    <x v="0"/>
    <x v="1"/>
    <n v="305.69"/>
    <s v="Deal"/>
    <m/>
    <s v="Original Amount [EUR 30.75], Merchant Amount [EUR 30.75], Customer Amount [NOK 305.69], Status [APPROVED], Operation [DIRECT], UUID [3620146-1458724860-126] [23/03/2016 at 09:21:00]"/>
  </r>
  <r>
    <s v="3620137-1458724850-224"/>
    <s v="Spot"/>
    <s v="3620137-1458724850-224"/>
    <n v="0"/>
    <d v="2016-03-31T00:00:00"/>
    <x v="2689"/>
    <s v="224"/>
    <s v="SELL"/>
    <n v="9.9412308260949906"/>
    <x v="0"/>
    <x v="1"/>
    <n v="537.91999999999996"/>
    <s v="Deal"/>
    <m/>
    <s v="Original Amount [EUR 54.11], Merchant Amount [EUR 54.11], Customer Amount [NOK 537.92], Status [APPROVED], Operation [DIRECT], UUID [3620137-1458724850-224] [23/03/2016 at 09:20:00]"/>
  </r>
  <r>
    <s v="3620134-1458724847-187"/>
    <s v="Spot"/>
    <s v="3620134-1458724847-187"/>
    <n v="0"/>
    <d v="2016-03-31T00:00:00"/>
    <x v="2690"/>
    <s v="187"/>
    <s v="SELL"/>
    <n v="9.9410697067664913"/>
    <x v="0"/>
    <x v="1"/>
    <n v="5258.13"/>
    <s v="Deal"/>
    <m/>
    <s v="Original Amount [EUR 528.93], Merchant Amount [EUR 528.93], Customer Amount [NOK 5258.13], Status [APPROVED], Operation [DIRECT], UUID [3620134-1458724847-187] [23/03/2016 at 09:20:00]"/>
  </r>
  <r>
    <s v="3620158-1458724883-216"/>
    <s v="Spot"/>
    <s v="3620158-1458724883-216"/>
    <n v="0"/>
    <d v="2016-03-31T00:00:00"/>
    <x v="2691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158-1458724883-216] [23/03/2016 at 09:21:00]"/>
  </r>
  <r>
    <s v="3620152-1458724866-101"/>
    <s v="Spot"/>
    <s v="3620152-1458724866-101"/>
    <n v="0"/>
    <d v="2016-03-31T00:00:00"/>
    <x v="2692"/>
    <s v="101"/>
    <s v="SELL"/>
    <n v="3.3973526473526476"/>
    <x v="0"/>
    <x v="0"/>
    <n v="136.03"/>
    <s v="Deal"/>
    <m/>
    <s v="Original Amount [EUR 40.04], Merchant Amount [EUR 40.04], Customer Amount [TRY 136.03], Status [APPROVED], Operation [3DAUTH], UUID [3620152-1458724866-101] [23/03/2016 at 09:21:00]"/>
  </r>
  <r>
    <s v="3620170-1458724906-107"/>
    <s v="Spot"/>
    <s v="3620170-1458724906-107"/>
    <n v="0"/>
    <d v="2016-03-31T00:00:00"/>
    <x v="2693"/>
    <s v="107"/>
    <s v="SELL"/>
    <n v="3.3978947368421055"/>
    <x v="0"/>
    <x v="0"/>
    <n v="48.42"/>
    <s v="Deal"/>
    <m/>
    <s v="Original Amount [EUR 14.25], Merchant Amount [EUR 14.25], Customer Amount [TRY 48.42], Status [APPROVED], Operation [3DAUTH], UUID [3620170-1458724906-107] [23/03/2016 at 09:21:00]"/>
  </r>
  <r>
    <s v="3620104-1458724795-264"/>
    <s v="Spot"/>
    <s v="3620104-1458724795-264"/>
    <n v="0"/>
    <d v="2016-03-31T00:00:00"/>
    <x v="2694"/>
    <s v="264"/>
    <s v="SELL"/>
    <n v="3.403225806451613"/>
    <x v="0"/>
    <x v="0"/>
    <n v="10.55"/>
    <s v="Deal"/>
    <m/>
    <s v="Original Amount [TRY 10], Merchant Amount [EUR 3.1], Customer Amount [TRY 10.55], Status [APPROVED], Operation [3DAUTH], UUID [3620104-1458724795-264] [23/03/2016 at 09:19:00]"/>
  </r>
  <r>
    <s v="3620083-1458724759-216"/>
    <s v="Spot"/>
    <s v="3620083-1458724759-216"/>
    <n v="0"/>
    <d v="2016-03-31T00:00:00"/>
    <x v="2695"/>
    <s v="216"/>
    <s v="SELL"/>
    <n v="3.3973658849983943"/>
    <x v="0"/>
    <x v="0"/>
    <n v="211.52"/>
    <s v="Deal"/>
    <m/>
    <s v="Original Amount [EUR 62.26], Merchant Amount [EUR 62.26], Customer Amount [TRY 211.52], Status [APPROVED], Operation [3DAUTH], UUID [3620083-1458724759-216] [23/03/2016 at 09:19:00]"/>
  </r>
  <r>
    <s v="3620053-1458724693-216"/>
    <s v="Spot"/>
    <s v="3620053-1458724693-216"/>
    <n v="0"/>
    <d v="2016-03-31T00:00:00"/>
    <x v="2696"/>
    <s v="216"/>
    <s v="SELL"/>
    <n v="3.3973658849983943"/>
    <x v="0"/>
    <x v="0"/>
    <n v="105.76"/>
    <s v="Deal"/>
    <m/>
    <s v="Original Amount [EUR 31.13], Merchant Amount [EUR 31.13], Customer Amount [TRY 105.76], Status [WAITING], Operation [3D], UUID [3620053-1458724693-216] [23/03/2016 at 09:18:00]"/>
  </r>
  <r>
    <s v="3620050-1458724690-199"/>
    <s v="Spot"/>
    <s v="3620050-1458724690-199"/>
    <n v="0"/>
    <d v="2016-03-31T00:00:00"/>
    <x v="2697"/>
    <s v="199"/>
    <s v="SELL"/>
    <n v="9.9410898379970547"/>
    <x v="0"/>
    <x v="1"/>
    <n v="1080"/>
    <s v="Deal"/>
    <m/>
    <s v="Original Amount [EUR 108.64], Merchant Amount [EUR 108.64], Customer Amount [NOK 1080], Status [APPROVED], Operation [DIRECT], UUID [3620050-1458724690-199] [23/03/2016 at 09:18:00]"/>
  </r>
  <r>
    <s v="3620047-1458724677-261"/>
    <s v="Spot"/>
    <s v="3620047-1458724677-261"/>
    <n v="0"/>
    <d v="2016-03-31T00:00:00"/>
    <x v="2698"/>
    <s v="261"/>
    <s v="SELL"/>
    <n v="9.9418582912693942"/>
    <x v="0"/>
    <x v="1"/>
    <n v="1063.58"/>
    <s v="Deal"/>
    <m/>
    <s v="Original Amount [EUR 106.98], Merchant Amount [EUR 106.98], Customer Amount [NOK 1063.58], Status [APPROVED], Operation [DIRECT], UUID [3620047-1458724677-261] [23/03/2016 at 09:17:00]"/>
  </r>
  <r>
    <s v="3620059-1458724700-216"/>
    <s v="Spot"/>
    <s v="3620059-1458724700-216"/>
    <n v="0"/>
    <d v="2016-03-31T00:00:00"/>
    <x v="2699"/>
    <s v="216"/>
    <s v="SELL"/>
    <n v="3.3976124885215793"/>
    <x v="0"/>
    <x v="0"/>
    <n v="37"/>
    <s v="Deal"/>
    <m/>
    <s v="Original Amount [EUR 10.89], Merchant Amount [EUR 10.89], Customer Amount [TRY 37], Status [APPROVED], Operation [3DAUTH], UUID [3620059-1458724700-216] [23/03/2016 at 09:18:00]"/>
  </r>
  <r>
    <s v="3620035-1458724642-224"/>
    <s v="Spot"/>
    <s v="3620035-1458724642-224"/>
    <n v="0"/>
    <d v="2016-03-31T00:00:00"/>
    <x v="2700"/>
    <s v="224"/>
    <s v="SELL"/>
    <n v="132.94590643274856"/>
    <x v="0"/>
    <x v="3"/>
    <n v="1818.7"/>
    <s v="Deal"/>
    <m/>
    <s v="Original Amount [EUR 13.68], Merchant Amount [EUR 13.68], Customer Amount [JPY 1818.7], Status [APPROVED], Operation [DIRECT], UUID [3620035-1458724642-224] [23/03/2016 at 09:17:00]"/>
  </r>
  <r>
    <s v="3620032-1458724642-199"/>
    <s v="Spot"/>
    <s v="3620032-1458724642-199"/>
    <n v="0"/>
    <d v="2016-03-31T00:00:00"/>
    <x v="2701"/>
    <s v="199"/>
    <s v="SELL"/>
    <n v="9.9418262150220897"/>
    <x v="0"/>
    <x v="1"/>
    <n v="540.04"/>
    <s v="Deal"/>
    <m/>
    <s v="Original Amount [EUR 54.32], Merchant Amount [EUR 54.32], Customer Amount [NOK 540.04], Status [APPROVED], Operation [DIRECT], UUID [3620032-1458724642-199] [23/03/2016 at 09:17:00]"/>
  </r>
  <r>
    <s v="3620023-1458724622-134"/>
    <s v="Spot"/>
    <s v="3620023-1458724622-134"/>
    <n v="0"/>
    <d v="2016-03-31T00:00:00"/>
    <x v="2702"/>
    <s v="134"/>
    <s v="SELL"/>
    <n v="132.9461883408072"/>
    <x v="0"/>
    <x v="3"/>
    <n v="1185.8800000000001"/>
    <s v="Deal"/>
    <m/>
    <s v="Original Amount [EUR 8.92], Merchant Amount [EUR 8.92], Customer Amount [JPY 1185.88], Status [APPROVED], Operation [STORED], UUID [3620023-1458724622-134] [23/03/2016 at 09:17:00]"/>
  </r>
  <r>
    <s v="3620017-1458724614-260"/>
    <s v="Spot"/>
    <s v="3620017-1458724614-260"/>
    <n v="0"/>
    <d v="2016-03-31T00:00:00"/>
    <x v="2703"/>
    <s v="260"/>
    <s v="SELL"/>
    <n v="9.7480000000000011"/>
    <x v="0"/>
    <x v="12"/>
    <n v="48.74"/>
    <s v="Deal"/>
    <m/>
    <s v="Original Amount [EUR 5], Merchant Amount [EUR 5], Customer Amount [SEK 48.74], Status [APPROVED], Operation [DIRECT], UUID [3620017-1458724614-260] [23/03/2016 at 09:16:00]"/>
  </r>
  <r>
    <s v="3620020-1458724618-216"/>
    <s v="Spot"/>
    <s v="3620020-1458724618-216"/>
    <n v="0"/>
    <d v="2016-03-31T00:00:00"/>
    <x v="2704"/>
    <s v="216"/>
    <s v="SELL"/>
    <n v="3.3971722365038559"/>
    <x v="0"/>
    <x v="0"/>
    <n v="52.86"/>
    <s v="Deal"/>
    <m/>
    <s v="Original Amount [EUR 15.56], Merchant Amount [EUR 15.56], Customer Amount [TRY 52.86], Status [APPROVED], Operation [3DAUTH], UUID [3620020-1458724618-216] [23/03/2016 at 09:16:00]"/>
  </r>
  <r>
    <s v="3620008-1458724580-238"/>
    <s v="Spot"/>
    <s v="3620008-1458724580-238"/>
    <n v="0"/>
    <d v="2016-03-31T00:00:00"/>
    <x v="2705"/>
    <s v="238"/>
    <s v="SELL"/>
    <n v="1.5474452554744524"/>
    <x v="0"/>
    <x v="2"/>
    <n v="2.12"/>
    <s v="Deal"/>
    <m/>
    <s v="Original Amount [EUR 1.37], Merchant Amount [EUR 1.37], Customer Amount [CAD 2.12], Status [APPROVED], Operation [DIRECT], UUID [3620008-1458724580-238] [23/03/2016 at 09:16:00]"/>
  </r>
  <r>
    <s v="3619999-1458724563-261"/>
    <s v="Spot"/>
    <s v="3619999-1458724563-261"/>
    <n v="0"/>
    <d v="2016-03-31T00:00:00"/>
    <x v="2706"/>
    <s v="261"/>
    <s v="SELL"/>
    <n v="9.9420380180741663"/>
    <x v="0"/>
    <x v="1"/>
    <n v="319.04000000000002"/>
    <s v="Deal"/>
    <m/>
    <s v="Original Amount [EUR 32.09], Merchant Amount [EUR 32.09], Customer Amount [NOK 319.04], Status [APPROVED], Operation [DIRECT], UUID [3619999-1458724563-261] [23/03/2016 at 09:16:00]"/>
  </r>
  <r>
    <s v="3619996-1458724562-125"/>
    <s v="Spot"/>
    <s v="3619996-1458724562-125"/>
    <n v="0"/>
    <d v="2016-03-31T00:00:00"/>
    <x v="2707"/>
    <s v="125"/>
    <s v="SELL"/>
    <n v="9.9420000000000002"/>
    <x v="0"/>
    <x v="1"/>
    <n v="99.42"/>
    <s v="Deal"/>
    <m/>
    <s v="Original Amount [EUR 10], Merchant Amount [EUR 10], Customer Amount [NOK 99.42], Status [APPROVED], Operation [DIRECT], UUID [3619996-1458724562-125] [23/03/2016 at 09:16:00]"/>
  </r>
  <r>
    <s v="3619978-1458724547-145"/>
    <s v="Spot"/>
    <s v="3619978-1458724547-145"/>
    <n v="0"/>
    <d v="2016-03-31T00:00:00"/>
    <x v="2708"/>
    <s v="145"/>
    <s v="SELL"/>
    <n v="1.544921875"/>
    <x v="0"/>
    <x v="2"/>
    <n v="15.82"/>
    <s v="Deal"/>
    <m/>
    <s v="Original Amount [EUR 10.24], Merchant Amount [EUR 10.24], Customer Amount [CAD 15.82], Status [APPROVED], Operation [DIRECT], UUID [3619978-1458724547-145] [23/03/2016 at 09:15:00]"/>
  </r>
  <r>
    <s v="3619984-1458724551-56"/>
    <s v="Spot"/>
    <s v="3619984-1458724551-56"/>
    <n v="0"/>
    <d v="2016-03-31T00:00:00"/>
    <x v="2709"/>
    <s v="56"/>
    <s v="SELL"/>
    <n v="3.3972517176764518"/>
    <x v="0"/>
    <x v="0"/>
    <n v="54.39"/>
    <s v="Deal"/>
    <m/>
    <s v="Original Amount [EUR 16.01], Merchant Amount [EUR 16.01], Customer Amount [TRY 54.39], Status [APPROVED], Operation [3DAUTH], UUID [3619984-1458724551-56] [23/03/2016 at 09:15:00]"/>
  </r>
  <r>
    <s v="3619945-1458724517-216"/>
    <s v="Spot"/>
    <s v="3619945-1458724517-216"/>
    <n v="0"/>
    <d v="2016-03-31T00:00:00"/>
    <x v="2710"/>
    <s v="216"/>
    <s v="SELL"/>
    <n v="3.3970446514616128"/>
    <x v="0"/>
    <x v="0"/>
    <n v="105.75"/>
    <s v="Deal"/>
    <m/>
    <s v="Original Amount [EUR 31.13], Merchant Amount [EUR 31.13], Customer Amount [TRY 105.75], Status [WAITING], Operation [3D], UUID [3619945-1458724517-216] [23/03/2016 at 09:15:00]"/>
  </r>
  <r>
    <s v="3619927-1458724505-171"/>
    <s v="Spot"/>
    <s v="3619927-1458724505-171"/>
    <n v="0"/>
    <d v="2016-03-31T00:00:00"/>
    <x v="2711"/>
    <s v="171"/>
    <s v="SELL"/>
    <n v="1.5441860465116277"/>
    <x v="0"/>
    <x v="2"/>
    <n v="126.16"/>
    <s v="Deal"/>
    <m/>
    <s v="Original Amount [EUR 81.7], Merchant Amount [EUR 81.7], Customer Amount [CAD 126.16], Status [APPROVED], Operation [DIRECT], UUID [3619927-1458724505-171] [23/03/2016 at 09:15:00]"/>
  </r>
  <r>
    <s v="3619924-1458724502-119"/>
    <s v="Spot"/>
    <s v="3619924-1458724502-119"/>
    <n v="0"/>
    <d v="2016-03-31T00:00:00"/>
    <x v="2712"/>
    <s v="119"/>
    <s v="SELL"/>
    <n v="9.9417999999999989"/>
    <x v="0"/>
    <x v="1"/>
    <n v="2485.4499999999998"/>
    <s v="Deal"/>
    <m/>
    <s v="Original Amount [EUR 250], Merchant Amount [EUR 250], Customer Amount [NOK 2485.45], Status [APPROVED], Operation [DIRECT], UUID [3619924-1458724502-119] [23/03/2016 at 09:15:00]"/>
  </r>
  <r>
    <s v="3619918-1458724500-119"/>
    <s v="Spot"/>
    <s v="3619918-1458724500-119"/>
    <n v="0"/>
    <d v="2016-03-31T00:00:00"/>
    <x v="2713"/>
    <s v="119"/>
    <s v="SELL"/>
    <n v="9.954600000000001"/>
    <x v="0"/>
    <x v="1"/>
    <n v="1990.92"/>
    <s v="Deal"/>
    <m/>
    <s v="Original Amount [EUR 200], Merchant Amount [EUR 200], Customer Amount [NOK 1990.92], Status [APPROVED], Operation [DIRECT], UUID [3619918-1458724500-119] [23/03/2016 at 09:15:00]"/>
  </r>
  <r>
    <s v="3619915-1458724499-224"/>
    <s v="Spot"/>
    <s v="3619915-1458724499-224"/>
    <n v="0"/>
    <d v="2016-03-31T00:00:00"/>
    <x v="2714"/>
    <s v="224"/>
    <s v="SELL"/>
    <n v="132.97230600493558"/>
    <x v="0"/>
    <x v="3"/>
    <n v="4849.5"/>
    <s v="Deal"/>
    <m/>
    <s v="Original Amount [EUR 36.47], Merchant Amount [EUR 36.47], Customer Amount [JPY 4849.5], Status [APPROVED], Operation [DIRECT], UUID [3619915-1458724499-224] [23/03/2016 at 09:14:00]"/>
  </r>
  <r>
    <s v="3619894-1458724480-126"/>
    <s v="Spot"/>
    <s v="3619894-1458724480-126"/>
    <n v="0"/>
    <d v="2016-03-31T00:00:00"/>
    <x v="2715"/>
    <s v="126"/>
    <s v="SELL"/>
    <n v="9.9546341463414638"/>
    <x v="0"/>
    <x v="1"/>
    <n v="204.07"/>
    <s v="Deal"/>
    <m/>
    <s v="Original Amount [EUR 20.5], Merchant Amount [EUR 20.5], Customer Amount [NOK 204.07], Status [APPROVED], Operation [DIRECT], UUID [3619894-1458724480-126] [23/03/2016 at 09:14:00]"/>
  </r>
  <r>
    <s v="3619882-1458724467-260"/>
    <s v="Spot"/>
    <s v="3619882-1458724467-260"/>
    <n v="0"/>
    <d v="2016-03-31T00:00:00"/>
    <x v="2716"/>
    <s v="260"/>
    <s v="SELL"/>
    <n v="9.734"/>
    <x v="0"/>
    <x v="12"/>
    <n v="48.67"/>
    <s v="Deal"/>
    <m/>
    <s v="Original Amount [EUR 5], Merchant Amount [EUR 5], Customer Amount [SEK 48.67], Status [APPROVED], Operation [DIRECT], UUID [3619882-1458724467-260] [23/03/2016 at 09:14:00]"/>
  </r>
  <r>
    <s v="3619846-1458724446-199"/>
    <s v="Spot"/>
    <s v="3619846-1458724446-199"/>
    <n v="0"/>
    <d v="2016-03-31T00:00:00"/>
    <x v="2717"/>
    <s v="199"/>
    <s v="SELL"/>
    <n v="9.9545919410922483"/>
    <x v="0"/>
    <x v="1"/>
    <n v="973.36"/>
    <s v="Deal"/>
    <m/>
    <s v="Original Amount [EUR 97.78], Merchant Amount [EUR 97.78], Customer Amount [NOK 973.36], Status [APPROVED], Operation [DIRECT], UUID [3619846-1458724446-199] [23/03/2016 at 09:14:00]"/>
  </r>
  <r>
    <s v="3619843-1458724444-126"/>
    <s v="Spot"/>
    <s v="3619843-1458724444-126"/>
    <n v="0"/>
    <d v="2016-03-31T00:00:00"/>
    <x v="2718"/>
    <s v="126"/>
    <s v="SELL"/>
    <n v="9.9551365409622896"/>
    <x v="0"/>
    <x v="1"/>
    <n v="153.11000000000001"/>
    <s v="Deal"/>
    <m/>
    <s v="Original Amount [EUR 15.38], Merchant Amount [EUR 15.38], Customer Amount [NOK 153.11], Status [APPROVED], Operation [DIRECT], UUID [3619843-1458724444-126] [23/03/2016 at 09:14:00]"/>
  </r>
  <r>
    <s v="3619831-1458724437-200"/>
    <s v="Spot"/>
    <s v="3619831-1458724437-200"/>
    <n v="0"/>
    <d v="2016-03-31T00:00:00"/>
    <x v="2719"/>
    <s v="200"/>
    <s v="SELL"/>
    <n v="9.9545620437956206"/>
    <x v="0"/>
    <x v="1"/>
    <n v="545.51"/>
    <s v="Deal"/>
    <m/>
    <s v="Original Amount [EUR 54.8], Merchant Amount [EUR 54.8], Customer Amount [NOK 545.51], Status [APPROVED], Operation [STORED], UUID [3619831-1458724437-200] [23/03/2016 at 09:13:00]"/>
  </r>
  <r>
    <m/>
    <m/>
    <m/>
    <m/>
    <m/>
    <x v="2720"/>
    <m/>
    <m/>
    <m/>
    <x v="1"/>
    <x v="15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B20" firstHeaderRow="1" firstDataRow="1" firstDataCol="2"/>
  <pivotFields count="1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17">
        <item x="9"/>
        <item x="5"/>
        <item x="13"/>
        <item x="14"/>
        <item x="2"/>
        <item x="10"/>
        <item x="11"/>
        <item x="4"/>
        <item x="3"/>
        <item x="1"/>
        <item x="6"/>
        <item x="8"/>
        <item x="12"/>
        <item x="0"/>
        <item x="7"/>
        <item x="15"/>
        <item t="default"/>
      </items>
    </pivotField>
    <pivotField showAll="0"/>
    <pivotField showAll="0"/>
    <pivotField showAll="0"/>
    <pivotField showAll="0"/>
  </pivotFields>
  <rowFields count="2">
    <field x="9"/>
    <field x="10"/>
  </rowFields>
  <rowItems count="1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>
      <x v="1"/>
      <x v="15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\ldn-srv-cent01\bkg\std\systems\bkg-prd\sys-2\data\dealImportStaging" TargetMode="External"/><Relationship Id="rId1" Type="http://schemas.openxmlformats.org/officeDocument/2006/relationships/hyperlink" Target="\ldn-srv-cent01\bkg\std\systems\bkg-prd\sys-2\data\deal_import2_in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83"/>
  <sheetViews>
    <sheetView workbookViewId="0">
      <selection activeCell="B5" sqref="B5"/>
    </sheetView>
  </sheetViews>
  <sheetFormatPr defaultColWidth="8.85546875" defaultRowHeight="15" x14ac:dyDescent="0.25"/>
  <cols>
    <col min="1" max="1" width="14" customWidth="1"/>
    <col min="2" max="2" width="97" bestFit="1" customWidth="1"/>
  </cols>
  <sheetData>
    <row r="1" spans="1:2" x14ac:dyDescent="0.25">
      <c r="A1" s="1" t="s">
        <v>0</v>
      </c>
      <c r="B1" s="6" t="s">
        <v>793</v>
      </c>
    </row>
    <row r="2" spans="1:2" x14ac:dyDescent="0.25">
      <c r="A2" s="23" t="s">
        <v>100</v>
      </c>
      <c r="B2" s="6" t="s">
        <v>113</v>
      </c>
    </row>
    <row r="3" spans="1:2" x14ac:dyDescent="0.25">
      <c r="A3" s="13"/>
      <c r="B3" s="14"/>
    </row>
    <row r="4" spans="1:2" x14ac:dyDescent="0.25">
      <c r="A4" s="14"/>
      <c r="B4" s="14"/>
    </row>
    <row r="5" spans="1:2" x14ac:dyDescent="0.25">
      <c r="A5" s="14"/>
      <c r="B5" s="14"/>
    </row>
    <row r="6" spans="1:2" x14ac:dyDescent="0.25">
      <c r="A6" s="14"/>
      <c r="B6" s="14"/>
    </row>
    <row r="7" spans="1:2" x14ac:dyDescent="0.25">
      <c r="A7" s="14"/>
      <c r="B7" s="14"/>
    </row>
    <row r="8" spans="1:2" x14ac:dyDescent="0.25">
      <c r="A8" s="14"/>
      <c r="B8" s="14"/>
    </row>
    <row r="9" spans="1:2" x14ac:dyDescent="0.25">
      <c r="A9" s="14"/>
      <c r="B9" s="14"/>
    </row>
    <row r="10" spans="1:2" x14ac:dyDescent="0.25">
      <c r="A10" s="13"/>
      <c r="B10" s="14"/>
    </row>
    <row r="11" spans="1:2" x14ac:dyDescent="0.25">
      <c r="A11" s="14"/>
      <c r="B11" s="14"/>
    </row>
    <row r="12" spans="1:2" x14ac:dyDescent="0.25">
      <c r="A12" s="14"/>
      <c r="B12" s="14"/>
    </row>
    <row r="13" spans="1:2" x14ac:dyDescent="0.25">
      <c r="A13" s="14"/>
      <c r="B13" s="14"/>
    </row>
    <row r="14" spans="1:2" x14ac:dyDescent="0.25">
      <c r="A14" s="14"/>
      <c r="B14" s="14"/>
    </row>
    <row r="15" spans="1:2" x14ac:dyDescent="0.25">
      <c r="A15" s="14"/>
      <c r="B15" s="14"/>
    </row>
    <row r="16" spans="1:2" x14ac:dyDescent="0.25">
      <c r="A16" s="14"/>
      <c r="B16" s="14"/>
    </row>
    <row r="17" spans="1:2" x14ac:dyDescent="0.25">
      <c r="A17" s="14"/>
      <c r="B17" s="14"/>
    </row>
    <row r="18" spans="1:2" x14ac:dyDescent="0.25">
      <c r="A18" s="13"/>
      <c r="B18" s="13"/>
    </row>
    <row r="19" spans="1:2" x14ac:dyDescent="0.25">
      <c r="A19" s="14"/>
      <c r="B19" s="14"/>
    </row>
    <row r="20" spans="1:2" x14ac:dyDescent="0.25">
      <c r="A20" s="14"/>
      <c r="B20" s="14"/>
    </row>
    <row r="21" spans="1:2" x14ac:dyDescent="0.25">
      <c r="A21" s="14"/>
      <c r="B21" s="14"/>
    </row>
    <row r="22" spans="1:2" x14ac:dyDescent="0.25">
      <c r="A22" s="14"/>
      <c r="B22" s="14"/>
    </row>
    <row r="23" spans="1:2" x14ac:dyDescent="0.25">
      <c r="A23" s="14"/>
      <c r="B23" s="14"/>
    </row>
    <row r="24" spans="1:2" x14ac:dyDescent="0.25">
      <c r="A24" s="14"/>
      <c r="B24" s="14"/>
    </row>
    <row r="25" spans="1:2" x14ac:dyDescent="0.25">
      <c r="A25" s="14"/>
      <c r="B25" s="14"/>
    </row>
    <row r="26" spans="1:2" x14ac:dyDescent="0.25">
      <c r="A26" s="14"/>
      <c r="B26" s="14"/>
    </row>
    <row r="27" spans="1:2" x14ac:dyDescent="0.25">
      <c r="A27" s="14"/>
      <c r="B27" s="14"/>
    </row>
    <row r="28" spans="1:2" x14ac:dyDescent="0.25">
      <c r="A28" s="14"/>
      <c r="B28" s="14"/>
    </row>
    <row r="29" spans="1:2" x14ac:dyDescent="0.25">
      <c r="A29" s="14"/>
      <c r="B29" s="14"/>
    </row>
    <row r="30" spans="1:2" x14ac:dyDescent="0.25">
      <c r="A30" s="14"/>
      <c r="B30" s="14"/>
    </row>
    <row r="31" spans="1:2" x14ac:dyDescent="0.25">
      <c r="A31" s="14"/>
      <c r="B31" s="14"/>
    </row>
    <row r="32" spans="1:2" x14ac:dyDescent="0.25">
      <c r="A32" s="14"/>
      <c r="B32" s="14"/>
    </row>
    <row r="33" spans="1:2" x14ac:dyDescent="0.25">
      <c r="A33" s="14"/>
      <c r="B33" s="14"/>
    </row>
    <row r="34" spans="1:2" x14ac:dyDescent="0.25">
      <c r="A34" s="14"/>
      <c r="B34" s="14"/>
    </row>
    <row r="35" spans="1:2" x14ac:dyDescent="0.25">
      <c r="A35" s="14"/>
      <c r="B35" s="14"/>
    </row>
    <row r="36" spans="1:2" x14ac:dyDescent="0.25">
      <c r="A36" s="14"/>
      <c r="B36" s="14"/>
    </row>
    <row r="37" spans="1:2" x14ac:dyDescent="0.25">
      <c r="A37" s="14"/>
      <c r="B37" s="14"/>
    </row>
    <row r="38" spans="1:2" x14ac:dyDescent="0.25">
      <c r="A38" s="14"/>
      <c r="B38" s="14"/>
    </row>
    <row r="39" spans="1:2" x14ac:dyDescent="0.25">
      <c r="A39" s="14"/>
      <c r="B39" s="14"/>
    </row>
    <row r="40" spans="1:2" x14ac:dyDescent="0.25">
      <c r="A40" s="14"/>
      <c r="B40" s="14"/>
    </row>
    <row r="41" spans="1:2" x14ac:dyDescent="0.25">
      <c r="A41" s="14"/>
      <c r="B41" s="14"/>
    </row>
    <row r="42" spans="1:2" x14ac:dyDescent="0.25">
      <c r="A42" s="14"/>
      <c r="B42" s="14"/>
    </row>
    <row r="43" spans="1:2" x14ac:dyDescent="0.25">
      <c r="A43" s="14"/>
      <c r="B43" s="14"/>
    </row>
    <row r="44" spans="1:2" x14ac:dyDescent="0.25">
      <c r="A44" s="14"/>
      <c r="B44" s="14"/>
    </row>
    <row r="45" spans="1:2" x14ac:dyDescent="0.25">
      <c r="A45" s="14"/>
      <c r="B45" s="14"/>
    </row>
    <row r="46" spans="1:2" x14ac:dyDescent="0.25">
      <c r="A46" s="14"/>
      <c r="B46" s="14"/>
    </row>
    <row r="47" spans="1:2" x14ac:dyDescent="0.25">
      <c r="A47" s="14"/>
      <c r="B47" s="14"/>
    </row>
    <row r="48" spans="1:2" x14ac:dyDescent="0.25">
      <c r="A48" s="14"/>
      <c r="B48" s="14"/>
    </row>
    <row r="49" spans="1:2" x14ac:dyDescent="0.25">
      <c r="A49" s="14"/>
      <c r="B49" s="14"/>
    </row>
    <row r="50" spans="1:2" x14ac:dyDescent="0.25">
      <c r="A50" s="14"/>
      <c r="B50" s="14"/>
    </row>
    <row r="51" spans="1:2" x14ac:dyDescent="0.25">
      <c r="A51" s="14"/>
      <c r="B51" s="14"/>
    </row>
    <row r="52" spans="1:2" x14ac:dyDescent="0.25">
      <c r="A52" s="14"/>
      <c r="B52" s="14"/>
    </row>
    <row r="53" spans="1:2" x14ac:dyDescent="0.25">
      <c r="A53" s="14"/>
      <c r="B53" s="14"/>
    </row>
    <row r="54" spans="1:2" x14ac:dyDescent="0.25">
      <c r="A54" s="14"/>
      <c r="B54" s="14"/>
    </row>
    <row r="55" spans="1:2" x14ac:dyDescent="0.25">
      <c r="A55" s="14"/>
      <c r="B55" s="14"/>
    </row>
    <row r="56" spans="1:2" x14ac:dyDescent="0.25">
      <c r="A56" s="14"/>
      <c r="B56" s="14"/>
    </row>
    <row r="57" spans="1:2" x14ac:dyDescent="0.25">
      <c r="A57" s="14"/>
      <c r="B57" s="14"/>
    </row>
    <row r="58" spans="1:2" x14ac:dyDescent="0.25">
      <c r="A58" s="14"/>
      <c r="B58" s="14"/>
    </row>
    <row r="59" spans="1:2" x14ac:dyDescent="0.25">
      <c r="A59" s="14"/>
      <c r="B59" s="14"/>
    </row>
    <row r="60" spans="1:2" x14ac:dyDescent="0.25">
      <c r="A60" s="14"/>
      <c r="B60" s="14"/>
    </row>
    <row r="61" spans="1:2" x14ac:dyDescent="0.25">
      <c r="A61" s="14"/>
      <c r="B61" s="14"/>
    </row>
    <row r="62" spans="1:2" x14ac:dyDescent="0.25">
      <c r="A62" s="13"/>
      <c r="B62" s="14"/>
    </row>
    <row r="63" spans="1:2" x14ac:dyDescent="0.25">
      <c r="A63" s="14"/>
      <c r="B63" s="14"/>
    </row>
    <row r="64" spans="1:2" x14ac:dyDescent="0.25">
      <c r="A64" s="14"/>
      <c r="B64" s="14"/>
    </row>
    <row r="65" spans="1:2" x14ac:dyDescent="0.25">
      <c r="A65" s="14"/>
      <c r="B65" s="14"/>
    </row>
    <row r="66" spans="1:2" x14ac:dyDescent="0.25">
      <c r="A66" s="14"/>
      <c r="B66" s="14"/>
    </row>
    <row r="67" spans="1:2" x14ac:dyDescent="0.25">
      <c r="A67" s="14"/>
      <c r="B67" s="14"/>
    </row>
    <row r="68" spans="1:2" x14ac:dyDescent="0.25">
      <c r="A68" s="13"/>
      <c r="B68" s="13"/>
    </row>
    <row r="69" spans="1:2" x14ac:dyDescent="0.25">
      <c r="A69" s="14"/>
      <c r="B69" s="14"/>
    </row>
    <row r="70" spans="1:2" x14ac:dyDescent="0.25">
      <c r="A70" s="14"/>
      <c r="B70" s="14"/>
    </row>
    <row r="71" spans="1:2" x14ac:dyDescent="0.25">
      <c r="A71" s="14"/>
      <c r="B71" s="14"/>
    </row>
    <row r="72" spans="1:2" x14ac:dyDescent="0.25">
      <c r="A72" s="12"/>
      <c r="B72" s="12"/>
    </row>
    <row r="73" spans="1:2" x14ac:dyDescent="0.25">
      <c r="A73" s="12"/>
      <c r="B73" s="12"/>
    </row>
    <row r="74" spans="1:2" x14ac:dyDescent="0.25">
      <c r="A74" s="12"/>
      <c r="B74" s="12"/>
    </row>
    <row r="75" spans="1:2" x14ac:dyDescent="0.25">
      <c r="A75" s="12"/>
      <c r="B75" s="12"/>
    </row>
    <row r="76" spans="1:2" x14ac:dyDescent="0.25">
      <c r="A76" s="12"/>
      <c r="B76" s="12"/>
    </row>
    <row r="77" spans="1:2" x14ac:dyDescent="0.25">
      <c r="A77" s="12"/>
      <c r="B77" s="12"/>
    </row>
    <row r="78" spans="1:2" x14ac:dyDescent="0.25">
      <c r="A78" s="12"/>
      <c r="B78" s="12"/>
    </row>
    <row r="79" spans="1:2" x14ac:dyDescent="0.25">
      <c r="A79" s="12"/>
      <c r="B79" s="12"/>
    </row>
    <row r="80" spans="1:2" x14ac:dyDescent="0.25">
      <c r="A80" s="12"/>
      <c r="B80" s="12"/>
    </row>
    <row r="81" spans="1:2" x14ac:dyDescent="0.25">
      <c r="A81" s="12"/>
      <c r="B81" s="12"/>
    </row>
    <row r="82" spans="1:2" x14ac:dyDescent="0.25">
      <c r="A82" s="12"/>
      <c r="B82" s="12"/>
    </row>
    <row r="83" spans="1:2" x14ac:dyDescent="0.25">
      <c r="A83" s="12"/>
      <c r="B83" s="12"/>
    </row>
  </sheetData>
  <phoneticPr fontId="3" type="noConversion"/>
  <hyperlinks>
    <hyperlink ref="B2" r:id="rId1" display="\\ldn-srv-cent01\bkg\std\systems\bkg-prd\sys-2\data\deal_import2_in\"/>
    <hyperlink ref="B1" r:id="rId2" display="\\ldn-srv-cent01\bkg\std\systems\bkg-prd\sys-2\data\dealImportStaging\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O11"/>
  <sheetViews>
    <sheetView workbookViewId="0">
      <pane ySplit="1" topLeftCell="A2" activePane="bottomLeft" state="frozen"/>
      <selection pane="bottomLeft" activeCell="H12" sqref="H12"/>
    </sheetView>
  </sheetViews>
  <sheetFormatPr defaultColWidth="16" defaultRowHeight="15" x14ac:dyDescent="0.25"/>
  <cols>
    <col min="1" max="1" width="22.85546875" style="8" bestFit="1" customWidth="1"/>
    <col min="2" max="2" width="16" style="8"/>
    <col min="3" max="3" width="22.85546875" style="8" bestFit="1" customWidth="1"/>
    <col min="4" max="5" width="16" style="8"/>
    <col min="6" max="6" width="28.7109375" style="8" bestFit="1" customWidth="1"/>
    <col min="7" max="16384" width="16" style="8"/>
  </cols>
  <sheetData>
    <row r="1" spans="1:15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54</v>
      </c>
      <c r="L1" s="9" t="s">
        <v>24</v>
      </c>
      <c r="M1" s="9" t="s">
        <v>3</v>
      </c>
      <c r="N1" s="9" t="s">
        <v>26</v>
      </c>
      <c r="O1" s="9" t="s">
        <v>39</v>
      </c>
    </row>
    <row r="2" spans="1:15" x14ac:dyDescent="0.25">
      <c r="A2" t="s">
        <v>72</v>
      </c>
      <c r="B2" t="s">
        <v>53</v>
      </c>
      <c r="C2" t="s">
        <v>72</v>
      </c>
      <c r="D2">
        <v>1</v>
      </c>
      <c r="E2" s="15">
        <f ca="1">TODAY()</f>
        <v>43242</v>
      </c>
      <c r="F2" s="4">
        <v>30102373</v>
      </c>
      <c r="G2" t="s">
        <v>73</v>
      </c>
      <c r="H2" t="s">
        <v>101</v>
      </c>
      <c r="I2" s="16">
        <v>3.3881725211204983</v>
      </c>
      <c r="J2" t="e">
        <f>#REF!</f>
        <v>#REF!</v>
      </c>
      <c r="K2" t="e">
        <f>#REF!</f>
        <v>#REF!</v>
      </c>
      <c r="L2">
        <v>76000.2</v>
      </c>
      <c r="M2" t="s">
        <v>59</v>
      </c>
      <c r="N2" s="15"/>
      <c r="O2"/>
    </row>
    <row r="3" spans="1:15" x14ac:dyDescent="0.25">
      <c r="A3" t="s">
        <v>74</v>
      </c>
      <c r="B3" t="s">
        <v>53</v>
      </c>
      <c r="C3" t="s">
        <v>74</v>
      </c>
      <c r="D3">
        <v>1</v>
      </c>
      <c r="E3" s="15">
        <f t="shared" ref="E3:E11" ca="1" si="0">TODAY()</f>
        <v>43242</v>
      </c>
      <c r="F3" s="4" t="s">
        <v>60</v>
      </c>
      <c r="G3" t="s">
        <v>75</v>
      </c>
      <c r="H3" t="s">
        <v>101</v>
      </c>
      <c r="I3" s="16">
        <v>9.9505876068376082</v>
      </c>
      <c r="J3" t="e">
        <f>#REF!</f>
        <v>#REF!</v>
      </c>
      <c r="K3" t="e">
        <f>#REF!</f>
        <v>#REF!</v>
      </c>
      <c r="L3">
        <v>745000.1</v>
      </c>
      <c r="M3" t="s">
        <v>59</v>
      </c>
      <c r="N3" s="15"/>
      <c r="O3"/>
    </row>
    <row r="4" spans="1:15" x14ac:dyDescent="0.25">
      <c r="A4" t="s">
        <v>76</v>
      </c>
      <c r="B4" t="s">
        <v>53</v>
      </c>
      <c r="C4" t="s">
        <v>76</v>
      </c>
      <c r="D4">
        <v>1</v>
      </c>
      <c r="E4" s="15">
        <f t="shared" ca="1" si="0"/>
        <v>43242</v>
      </c>
      <c r="F4" s="4" t="s">
        <v>62</v>
      </c>
      <c r="G4" t="s">
        <v>77</v>
      </c>
      <c r="H4" t="s">
        <v>101</v>
      </c>
      <c r="I4" s="16">
        <v>1.554744525547445</v>
      </c>
      <c r="J4" t="e">
        <f>#REF!</f>
        <v>#REF!</v>
      </c>
      <c r="K4" t="e">
        <f>#REF!</f>
        <v>#REF!</v>
      </c>
      <c r="L4">
        <v>2000.13</v>
      </c>
      <c r="M4" t="s">
        <v>59</v>
      </c>
      <c r="N4" s="15"/>
      <c r="O4"/>
    </row>
    <row r="5" spans="1:15" x14ac:dyDescent="0.25">
      <c r="A5" t="s">
        <v>78</v>
      </c>
      <c r="B5" t="s">
        <v>53</v>
      </c>
      <c r="C5" t="s">
        <v>78</v>
      </c>
      <c r="D5">
        <v>1</v>
      </c>
      <c r="E5" s="15">
        <f t="shared" ca="1" si="0"/>
        <v>43242</v>
      </c>
      <c r="F5" s="4" t="s">
        <v>64</v>
      </c>
      <c r="G5" t="s">
        <v>79</v>
      </c>
      <c r="H5" t="s">
        <v>101</v>
      </c>
      <c r="I5" s="16">
        <v>3.3884297520661155</v>
      </c>
      <c r="J5" t="e">
        <f>#REF!</f>
        <v>#REF!</v>
      </c>
      <c r="K5" t="e">
        <f>#REF!</f>
        <v>#REF!</v>
      </c>
      <c r="L5">
        <v>36000.9</v>
      </c>
      <c r="M5" t="s">
        <v>59</v>
      </c>
      <c r="N5" s="15"/>
      <c r="O5"/>
    </row>
    <row r="6" spans="1:15" x14ac:dyDescent="0.25">
      <c r="A6" t="s">
        <v>80</v>
      </c>
      <c r="B6" t="s">
        <v>53</v>
      </c>
      <c r="C6" t="s">
        <v>80</v>
      </c>
      <c r="D6">
        <v>1</v>
      </c>
      <c r="E6" s="15">
        <f t="shared" ca="1" si="0"/>
        <v>43242</v>
      </c>
      <c r="F6" s="4" t="s">
        <v>65</v>
      </c>
      <c r="G6" t="s">
        <v>81</v>
      </c>
      <c r="H6" t="s">
        <v>101</v>
      </c>
      <c r="I6" s="16">
        <v>1.5513950073421439</v>
      </c>
      <c r="J6" t="e">
        <f>#REF!</f>
        <v>#REF!</v>
      </c>
      <c r="K6" t="e">
        <f>#REF!</f>
        <v>#REF!</v>
      </c>
      <c r="L6">
        <v>21000.13</v>
      </c>
      <c r="M6" t="s">
        <v>59</v>
      </c>
      <c r="N6" s="15"/>
      <c r="O6"/>
    </row>
    <row r="7" spans="1:15" x14ac:dyDescent="0.25">
      <c r="A7" t="s">
        <v>82</v>
      </c>
      <c r="B7" t="s">
        <v>53</v>
      </c>
      <c r="C7" t="s">
        <v>82</v>
      </c>
      <c r="D7">
        <v>1</v>
      </c>
      <c r="E7" s="15">
        <f t="shared" ca="1" si="0"/>
        <v>43242</v>
      </c>
      <c r="F7" s="4" t="s">
        <v>66</v>
      </c>
      <c r="G7" t="s">
        <v>83</v>
      </c>
      <c r="H7" t="s">
        <v>101</v>
      </c>
      <c r="I7" s="16">
        <v>9.9505853658536587</v>
      </c>
      <c r="J7" t="e">
        <f>#REF!</f>
        <v>#REF!</v>
      </c>
      <c r="K7" t="e">
        <f>#REF!</f>
        <v>#REF!</v>
      </c>
      <c r="L7">
        <v>2039000.87</v>
      </c>
      <c r="M7" t="s">
        <v>59</v>
      </c>
      <c r="N7" s="15"/>
      <c r="O7"/>
    </row>
    <row r="8" spans="1:15" x14ac:dyDescent="0.25">
      <c r="A8" t="s">
        <v>84</v>
      </c>
      <c r="B8" t="s">
        <v>53</v>
      </c>
      <c r="C8" t="s">
        <v>84</v>
      </c>
      <c r="D8">
        <v>1</v>
      </c>
      <c r="E8" s="15">
        <f t="shared" ca="1" si="0"/>
        <v>43242</v>
      </c>
      <c r="F8" s="4" t="s">
        <v>67</v>
      </c>
      <c r="G8" t="s">
        <v>85</v>
      </c>
      <c r="H8" t="s">
        <v>101</v>
      </c>
      <c r="I8" s="16">
        <v>9.9506666666666668</v>
      </c>
      <c r="J8" t="e">
        <f>#REF!</f>
        <v>#REF!</v>
      </c>
      <c r="K8" t="e">
        <f>#REF!</f>
        <v>#REF!</v>
      </c>
      <c r="L8">
        <v>298000.52</v>
      </c>
      <c r="M8" t="s">
        <v>59</v>
      </c>
      <c r="N8" s="15"/>
      <c r="O8"/>
    </row>
    <row r="9" spans="1:15" x14ac:dyDescent="0.25">
      <c r="A9" t="s">
        <v>86</v>
      </c>
      <c r="B9" t="s">
        <v>53</v>
      </c>
      <c r="C9" t="s">
        <v>86</v>
      </c>
      <c r="D9">
        <v>1</v>
      </c>
      <c r="E9" s="15">
        <f t="shared" ca="1" si="0"/>
        <v>43242</v>
      </c>
      <c r="F9" s="4" t="s">
        <v>68</v>
      </c>
      <c r="G9" t="s">
        <v>87</v>
      </c>
      <c r="H9" t="s">
        <v>101</v>
      </c>
      <c r="I9" s="16">
        <v>3.388029589778077</v>
      </c>
      <c r="J9" t="e">
        <f>#REF!</f>
        <v>#REF!</v>
      </c>
      <c r="K9" t="e">
        <f>#REF!</f>
        <v>#REF!</v>
      </c>
      <c r="L9">
        <v>50000.38</v>
      </c>
      <c r="M9" t="s">
        <v>59</v>
      </c>
      <c r="N9" s="15"/>
      <c r="O9"/>
    </row>
    <row r="10" spans="1:15" x14ac:dyDescent="0.25">
      <c r="A10" t="s">
        <v>88</v>
      </c>
      <c r="B10" t="s">
        <v>53</v>
      </c>
      <c r="C10" t="s">
        <v>88</v>
      </c>
      <c r="D10">
        <v>1</v>
      </c>
      <c r="E10" s="15">
        <f t="shared" ca="1" si="0"/>
        <v>43242</v>
      </c>
      <c r="F10" s="4" t="s">
        <v>69</v>
      </c>
      <c r="G10" t="s">
        <v>89</v>
      </c>
      <c r="H10" t="s">
        <v>101</v>
      </c>
      <c r="I10" s="16">
        <v>3.3879032258064514</v>
      </c>
      <c r="J10" t="e">
        <f>#REF!</f>
        <v>#REF!</v>
      </c>
      <c r="K10" t="e">
        <f>#REF!</f>
        <v>#REF!</v>
      </c>
      <c r="L10">
        <v>42000.01</v>
      </c>
      <c r="M10" t="s">
        <v>59</v>
      </c>
      <c r="N10" s="15"/>
      <c r="O10"/>
    </row>
    <row r="11" spans="1:15" x14ac:dyDescent="0.25">
      <c r="A11" t="s">
        <v>90</v>
      </c>
      <c r="B11" t="s">
        <v>53</v>
      </c>
      <c r="C11" t="s">
        <v>90</v>
      </c>
      <c r="D11">
        <v>1</v>
      </c>
      <c r="E11" s="15">
        <f t="shared" ca="1" si="0"/>
        <v>43242</v>
      </c>
      <c r="F11" s="4" t="s">
        <v>70</v>
      </c>
      <c r="G11" t="s">
        <v>91</v>
      </c>
      <c r="H11" t="s">
        <v>101</v>
      </c>
      <c r="I11" s="16">
        <v>9.9505545286506472</v>
      </c>
      <c r="J11" t="e">
        <f>#REF!</f>
        <v>#REF!</v>
      </c>
      <c r="K11" t="e">
        <f>#REF!</f>
        <v>#REF!</v>
      </c>
      <c r="L11">
        <v>215000.33</v>
      </c>
      <c r="M11" t="s">
        <v>59</v>
      </c>
      <c r="N11" s="15"/>
      <c r="O11"/>
    </row>
  </sheetData>
  <autoFilter ref="A1:O11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20"/>
  <sheetViews>
    <sheetView workbookViewId="0">
      <selection activeCell="A3" sqref="A3:B18"/>
    </sheetView>
  </sheetViews>
  <sheetFormatPr defaultColWidth="8.85546875" defaultRowHeight="15" x14ac:dyDescent="0.25"/>
  <cols>
    <col min="1" max="1" width="13.140625" bestFit="1" customWidth="1"/>
    <col min="2" max="2" width="17.85546875" bestFit="1" customWidth="1"/>
    <col min="3" max="3" width="5" customWidth="1"/>
    <col min="4" max="4" width="4.7109375" customWidth="1"/>
    <col min="5" max="5" width="4.140625" customWidth="1"/>
    <col min="6" max="6" width="4.7109375" customWidth="1"/>
    <col min="7" max="8" width="4.42578125" customWidth="1"/>
    <col min="9" max="9" width="4.7109375" customWidth="1"/>
    <col min="10" max="10" width="4" customWidth="1"/>
    <col min="11" max="11" width="5" customWidth="1"/>
    <col min="12" max="13" width="4.7109375" customWidth="1"/>
    <col min="14" max="14" width="4.140625" customWidth="1"/>
    <col min="15" max="15" width="4.28515625" customWidth="1"/>
    <col min="16" max="16" width="4.7109375" customWidth="1"/>
    <col min="17" max="17" width="7.28515625" customWidth="1"/>
    <col min="18" max="18" width="11.28515625" bestFit="1" customWidth="1"/>
  </cols>
  <sheetData>
    <row r="3" spans="1:2" x14ac:dyDescent="0.25">
      <c r="A3" s="17" t="s">
        <v>102</v>
      </c>
      <c r="B3" s="17" t="s">
        <v>54</v>
      </c>
    </row>
    <row r="4" spans="1:2" x14ac:dyDescent="0.25">
      <c r="A4" s="18" t="s">
        <v>57</v>
      </c>
      <c r="B4" s="18" t="s">
        <v>96</v>
      </c>
    </row>
    <row r="5" spans="1:2" x14ac:dyDescent="0.25">
      <c r="A5" s="18" t="s">
        <v>57</v>
      </c>
      <c r="B5" s="18" t="s">
        <v>92</v>
      </c>
    </row>
    <row r="6" spans="1:2" x14ac:dyDescent="0.25">
      <c r="A6" s="18" t="s">
        <v>57</v>
      </c>
      <c r="B6" s="18" t="s">
        <v>99</v>
      </c>
    </row>
    <row r="7" spans="1:2" x14ac:dyDescent="0.25">
      <c r="A7" s="18" t="s">
        <v>57</v>
      </c>
      <c r="B7" s="18" t="s">
        <v>95</v>
      </c>
    </row>
    <row r="8" spans="1:2" x14ac:dyDescent="0.25">
      <c r="A8" s="18" t="s">
        <v>57</v>
      </c>
      <c r="B8" s="18" t="s">
        <v>63</v>
      </c>
    </row>
    <row r="9" spans="1:2" x14ac:dyDescent="0.25">
      <c r="A9" s="18" t="s">
        <v>57</v>
      </c>
      <c r="B9" s="18" t="s">
        <v>97</v>
      </c>
    </row>
    <row r="10" spans="1:2" x14ac:dyDescent="0.25">
      <c r="A10" s="18" t="s">
        <v>57</v>
      </c>
      <c r="B10" s="18" t="s">
        <v>57</v>
      </c>
    </row>
    <row r="11" spans="1:2" x14ac:dyDescent="0.25">
      <c r="A11" s="18" t="s">
        <v>57</v>
      </c>
      <c r="B11" s="18" t="s">
        <v>55</v>
      </c>
    </row>
    <row r="12" spans="1:2" x14ac:dyDescent="0.25">
      <c r="A12" s="18" t="s">
        <v>57</v>
      </c>
      <c r="B12" s="18" t="s">
        <v>71</v>
      </c>
    </row>
    <row r="13" spans="1:2" x14ac:dyDescent="0.25">
      <c r="A13" s="18" t="s">
        <v>57</v>
      </c>
      <c r="B13" s="18" t="s">
        <v>61</v>
      </c>
    </row>
    <row r="14" spans="1:2" x14ac:dyDescent="0.25">
      <c r="A14" s="18" t="s">
        <v>57</v>
      </c>
      <c r="B14" s="18" t="s">
        <v>93</v>
      </c>
    </row>
    <row r="15" spans="1:2" x14ac:dyDescent="0.25">
      <c r="A15" s="18" t="s">
        <v>57</v>
      </c>
      <c r="B15" s="18" t="s">
        <v>94</v>
      </c>
    </row>
    <row r="16" spans="1:2" x14ac:dyDescent="0.25">
      <c r="A16" s="18" t="s">
        <v>57</v>
      </c>
      <c r="B16" s="18" t="s">
        <v>98</v>
      </c>
    </row>
    <row r="17" spans="1:2" x14ac:dyDescent="0.25">
      <c r="A17" s="18" t="s">
        <v>57</v>
      </c>
      <c r="B17" s="18" t="s">
        <v>58</v>
      </c>
    </row>
    <row r="18" spans="1:2" x14ac:dyDescent="0.25">
      <c r="A18" s="18" t="s">
        <v>57</v>
      </c>
      <c r="B18" s="18" t="s">
        <v>56</v>
      </c>
    </row>
    <row r="19" spans="1:2" x14ac:dyDescent="0.25">
      <c r="A19" s="18" t="s">
        <v>103</v>
      </c>
      <c r="B19" s="18" t="s">
        <v>103</v>
      </c>
    </row>
    <row r="20" spans="1:2" x14ac:dyDescent="0.25">
      <c r="A20" s="18" t="s">
        <v>104</v>
      </c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241"/>
  <sheetViews>
    <sheetView workbookViewId="0">
      <selection activeCell="E14" sqref="E14"/>
    </sheetView>
  </sheetViews>
  <sheetFormatPr defaultColWidth="16" defaultRowHeight="15" x14ac:dyDescent="0.25"/>
  <cols>
    <col min="1" max="4" width="16" style="8"/>
    <col min="5" max="5" width="16" style="21"/>
    <col min="6" max="6" width="30.140625" style="8" bestFit="1" customWidth="1"/>
    <col min="7" max="12" width="16" style="8"/>
    <col min="13" max="13" width="16" style="21"/>
    <col min="14" max="18" width="16" style="8"/>
    <col min="19" max="19" width="78.42578125" style="8" customWidth="1"/>
    <col min="20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24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24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39</v>
      </c>
      <c r="T1" s="20" t="s">
        <v>129</v>
      </c>
      <c r="U1" s="22" t="s">
        <v>130</v>
      </c>
      <c r="V1" s="8" t="s">
        <v>131</v>
      </c>
      <c r="W1" s="8" t="s">
        <v>132</v>
      </c>
    </row>
    <row r="2" spans="1:23" x14ac:dyDescent="0.25">
      <c r="A2" s="8">
        <v>4</v>
      </c>
      <c r="B2" s="5" t="s">
        <v>107</v>
      </c>
      <c r="C2" s="5">
        <v>4</v>
      </c>
      <c r="D2" s="5">
        <v>1</v>
      </c>
      <c r="E2" s="25">
        <v>43238</v>
      </c>
      <c r="F2" t="s">
        <v>112</v>
      </c>
      <c r="G2" s="8" t="s">
        <v>133</v>
      </c>
      <c r="H2" s="8" t="s">
        <v>49</v>
      </c>
      <c r="I2" s="8">
        <v>0</v>
      </c>
      <c r="J2" s="8" t="s">
        <v>55</v>
      </c>
      <c r="K2" s="8">
        <v>0</v>
      </c>
      <c r="L2" s="8" t="s">
        <v>127</v>
      </c>
      <c r="M2" s="21">
        <v>43102</v>
      </c>
      <c r="O2" s="8" t="s">
        <v>105</v>
      </c>
      <c r="P2" s="8" t="s">
        <v>8</v>
      </c>
      <c r="R2" s="8">
        <v>0</v>
      </c>
      <c r="S2" s="8" t="s">
        <v>1987</v>
      </c>
      <c r="T2" t="s">
        <v>134</v>
      </c>
      <c r="U2" s="8" t="s">
        <v>112</v>
      </c>
      <c r="V2" s="8" t="s">
        <v>134</v>
      </c>
      <c r="W2" s="8" t="s">
        <v>112</v>
      </c>
    </row>
    <row r="3" spans="1:23" x14ac:dyDescent="0.25">
      <c r="A3" s="8">
        <v>5</v>
      </c>
      <c r="B3" s="5" t="s">
        <v>107</v>
      </c>
      <c r="C3" s="5">
        <v>5</v>
      </c>
      <c r="D3" s="5">
        <v>1</v>
      </c>
      <c r="E3" s="25">
        <v>43238</v>
      </c>
      <c r="F3" t="s">
        <v>124</v>
      </c>
      <c r="G3" s="8" t="s">
        <v>133</v>
      </c>
      <c r="H3" s="8" t="s">
        <v>49</v>
      </c>
      <c r="I3" s="8">
        <v>0</v>
      </c>
      <c r="J3" s="8" t="s">
        <v>55</v>
      </c>
      <c r="K3" s="8">
        <v>0</v>
      </c>
      <c r="L3" s="8" t="s">
        <v>127</v>
      </c>
      <c r="M3" s="21">
        <v>43102</v>
      </c>
      <c r="O3" s="8" t="s">
        <v>105</v>
      </c>
      <c r="P3" s="8" t="s">
        <v>8</v>
      </c>
      <c r="R3" s="8">
        <v>0</v>
      </c>
      <c r="S3" s="8" t="s">
        <v>1988</v>
      </c>
      <c r="T3" t="s">
        <v>135</v>
      </c>
      <c r="U3" s="8" t="s">
        <v>124</v>
      </c>
      <c r="V3" s="8" t="s">
        <v>135</v>
      </c>
      <c r="W3" s="8" t="s">
        <v>124</v>
      </c>
    </row>
    <row r="4" spans="1:23" x14ac:dyDescent="0.25">
      <c r="A4" s="8">
        <v>6</v>
      </c>
      <c r="B4" s="5" t="s">
        <v>107</v>
      </c>
      <c r="C4" s="5">
        <v>6</v>
      </c>
      <c r="D4" s="5">
        <v>1</v>
      </c>
      <c r="E4" s="25">
        <v>43238</v>
      </c>
      <c r="F4" t="s">
        <v>136</v>
      </c>
      <c r="G4" s="8" t="s">
        <v>137</v>
      </c>
      <c r="H4" s="8" t="s">
        <v>49</v>
      </c>
      <c r="I4" s="8">
        <v>0</v>
      </c>
      <c r="J4" s="8" t="s">
        <v>55</v>
      </c>
      <c r="K4" s="8">
        <v>0</v>
      </c>
      <c r="L4" s="8" t="s">
        <v>138</v>
      </c>
      <c r="M4" s="21">
        <v>43102</v>
      </c>
      <c r="O4" s="8" t="s">
        <v>105</v>
      </c>
      <c r="P4" s="8" t="s">
        <v>8</v>
      </c>
      <c r="R4" s="8">
        <v>0</v>
      </c>
      <c r="S4" s="8" t="s">
        <v>1989</v>
      </c>
      <c r="T4" t="s">
        <v>139</v>
      </c>
      <c r="U4" s="8" t="s">
        <v>136</v>
      </c>
      <c r="V4" s="8" t="s">
        <v>139</v>
      </c>
      <c r="W4" s="8" t="s">
        <v>136</v>
      </c>
    </row>
    <row r="5" spans="1:23" x14ac:dyDescent="0.25">
      <c r="A5" s="8">
        <v>7</v>
      </c>
      <c r="B5" s="5" t="s">
        <v>107</v>
      </c>
      <c r="C5" s="5">
        <v>7</v>
      </c>
      <c r="D5" s="5">
        <v>1</v>
      </c>
      <c r="E5" s="25">
        <v>43238</v>
      </c>
      <c r="F5" t="s">
        <v>2213</v>
      </c>
      <c r="G5" s="8" t="s">
        <v>140</v>
      </c>
      <c r="H5" s="8" t="s">
        <v>49</v>
      </c>
      <c r="I5" s="8">
        <v>0</v>
      </c>
      <c r="J5" s="8" t="s">
        <v>55</v>
      </c>
      <c r="K5" s="8">
        <v>0</v>
      </c>
      <c r="L5" s="8" t="s">
        <v>2214</v>
      </c>
      <c r="M5" s="21">
        <v>43102</v>
      </c>
      <c r="O5" s="8" t="s">
        <v>105</v>
      </c>
      <c r="P5" s="8" t="s">
        <v>8</v>
      </c>
      <c r="R5" s="8">
        <v>0</v>
      </c>
      <c r="S5" s="8" t="s">
        <v>2215</v>
      </c>
      <c r="T5" t="s">
        <v>141</v>
      </c>
      <c r="U5" s="8" t="s">
        <v>2213</v>
      </c>
      <c r="V5" s="8" t="s">
        <v>141</v>
      </c>
      <c r="W5" s="8" t="s">
        <v>2213</v>
      </c>
    </row>
    <row r="6" spans="1:23" x14ac:dyDescent="0.25">
      <c r="A6" s="8">
        <v>8</v>
      </c>
      <c r="B6" s="5" t="s">
        <v>107</v>
      </c>
      <c r="C6" s="5">
        <v>8</v>
      </c>
      <c r="D6" s="5">
        <v>1</v>
      </c>
      <c r="E6" s="25">
        <v>43238</v>
      </c>
      <c r="F6" s="5" t="s">
        <v>142</v>
      </c>
      <c r="G6" s="8" t="s">
        <v>137</v>
      </c>
      <c r="H6" s="8" t="s">
        <v>49</v>
      </c>
      <c r="I6" s="8">
        <v>0</v>
      </c>
      <c r="J6" s="8" t="s">
        <v>55</v>
      </c>
      <c r="K6" s="8">
        <v>0</v>
      </c>
      <c r="L6" s="8" t="s">
        <v>143</v>
      </c>
      <c r="M6" s="21">
        <v>43102</v>
      </c>
      <c r="O6" s="8" t="s">
        <v>105</v>
      </c>
      <c r="P6" s="8" t="s">
        <v>8</v>
      </c>
      <c r="R6" s="8">
        <v>0</v>
      </c>
      <c r="S6" s="8" t="s">
        <v>1990</v>
      </c>
      <c r="T6" t="s">
        <v>144</v>
      </c>
      <c r="U6" s="8" t="s">
        <v>142</v>
      </c>
      <c r="V6" s="8" t="s">
        <v>144</v>
      </c>
      <c r="W6" s="8" t="s">
        <v>142</v>
      </c>
    </row>
    <row r="7" spans="1:23" x14ac:dyDescent="0.25">
      <c r="A7" s="8">
        <v>9</v>
      </c>
      <c r="B7" s="5" t="s">
        <v>107</v>
      </c>
      <c r="C7" s="5">
        <v>9</v>
      </c>
      <c r="D7" s="5">
        <v>1</v>
      </c>
      <c r="E7" s="25">
        <v>43238</v>
      </c>
      <c r="F7" s="5" t="s">
        <v>145</v>
      </c>
      <c r="G7" s="8" t="s">
        <v>146</v>
      </c>
      <c r="H7" s="8" t="s">
        <v>49</v>
      </c>
      <c r="I7" s="8">
        <v>0</v>
      </c>
      <c r="J7" s="8" t="s">
        <v>55</v>
      </c>
      <c r="K7" s="8">
        <v>0</v>
      </c>
      <c r="L7" s="8" t="s">
        <v>147</v>
      </c>
      <c r="M7" s="21">
        <v>43102</v>
      </c>
      <c r="O7" s="8" t="s">
        <v>105</v>
      </c>
      <c r="P7" s="8" t="s">
        <v>8</v>
      </c>
      <c r="R7" s="8">
        <v>0</v>
      </c>
      <c r="S7" s="8" t="s">
        <v>1991</v>
      </c>
      <c r="T7" t="s">
        <v>148</v>
      </c>
      <c r="U7" s="8" t="s">
        <v>145</v>
      </c>
      <c r="V7" s="8" t="s">
        <v>148</v>
      </c>
      <c r="W7" s="8" t="s">
        <v>145</v>
      </c>
    </row>
    <row r="8" spans="1:23" x14ac:dyDescent="0.25">
      <c r="A8" s="8">
        <v>10</v>
      </c>
      <c r="B8" s="5" t="s">
        <v>107</v>
      </c>
      <c r="C8" s="5">
        <v>10</v>
      </c>
      <c r="D8" s="5">
        <v>1</v>
      </c>
      <c r="E8" s="25">
        <v>43238</v>
      </c>
      <c r="F8" s="5" t="s">
        <v>114</v>
      </c>
      <c r="G8" s="8" t="s">
        <v>146</v>
      </c>
      <c r="H8" s="8" t="s">
        <v>49</v>
      </c>
      <c r="I8" s="8">
        <v>0</v>
      </c>
      <c r="J8" s="8" t="s">
        <v>55</v>
      </c>
      <c r="K8" s="8">
        <v>0</v>
      </c>
      <c r="L8" s="8" t="s">
        <v>149</v>
      </c>
      <c r="M8" s="21">
        <v>43102</v>
      </c>
      <c r="O8" s="8" t="s">
        <v>105</v>
      </c>
      <c r="P8" s="8" t="s">
        <v>8</v>
      </c>
      <c r="R8" s="8">
        <v>0</v>
      </c>
      <c r="S8" s="8" t="s">
        <v>1992</v>
      </c>
      <c r="T8" t="s">
        <v>150</v>
      </c>
      <c r="U8" s="8" t="s">
        <v>114</v>
      </c>
      <c r="V8" s="8" t="s">
        <v>150</v>
      </c>
      <c r="W8" s="8" t="s">
        <v>114</v>
      </c>
    </row>
    <row r="9" spans="1:23" x14ac:dyDescent="0.25">
      <c r="A9" s="8">
        <v>11</v>
      </c>
      <c r="B9" s="5" t="s">
        <v>107</v>
      </c>
      <c r="C9" s="5">
        <v>11</v>
      </c>
      <c r="D9" s="5">
        <v>1</v>
      </c>
      <c r="E9" s="25">
        <v>43238</v>
      </c>
      <c r="F9" s="5" t="s">
        <v>125</v>
      </c>
      <c r="G9" s="8" t="s">
        <v>146</v>
      </c>
      <c r="H9" s="8" t="s">
        <v>49</v>
      </c>
      <c r="I9" s="8">
        <v>0</v>
      </c>
      <c r="J9" s="8" t="s">
        <v>55</v>
      </c>
      <c r="K9" s="8">
        <v>0</v>
      </c>
      <c r="L9" s="8" t="s">
        <v>149</v>
      </c>
      <c r="M9" s="21">
        <v>43102</v>
      </c>
      <c r="O9" s="8" t="s">
        <v>105</v>
      </c>
      <c r="P9" s="8" t="s">
        <v>8</v>
      </c>
      <c r="R9" s="8">
        <v>0</v>
      </c>
      <c r="S9" s="8" t="s">
        <v>1993</v>
      </c>
      <c r="T9" t="s">
        <v>151</v>
      </c>
      <c r="U9" s="8" t="s">
        <v>125</v>
      </c>
      <c r="V9" s="8" t="s">
        <v>151</v>
      </c>
      <c r="W9" s="8" t="s">
        <v>125</v>
      </c>
    </row>
    <row r="10" spans="1:23" x14ac:dyDescent="0.25">
      <c r="A10" s="8">
        <v>12</v>
      </c>
      <c r="B10" s="5" t="s">
        <v>107</v>
      </c>
      <c r="C10" s="5">
        <v>12</v>
      </c>
      <c r="D10" s="5">
        <v>1</v>
      </c>
      <c r="E10" s="25">
        <v>43238</v>
      </c>
      <c r="F10" s="5" t="s">
        <v>152</v>
      </c>
      <c r="G10" s="8" t="s">
        <v>137</v>
      </c>
      <c r="H10" s="8" t="s">
        <v>49</v>
      </c>
      <c r="I10" s="8">
        <v>0</v>
      </c>
      <c r="J10" s="8" t="s">
        <v>55</v>
      </c>
      <c r="K10" s="8">
        <v>0</v>
      </c>
      <c r="L10" s="8" t="s">
        <v>153</v>
      </c>
      <c r="M10" s="21">
        <v>43102</v>
      </c>
      <c r="O10" s="8" t="s">
        <v>105</v>
      </c>
      <c r="P10" s="8" t="s">
        <v>8</v>
      </c>
      <c r="R10" s="8">
        <v>0</v>
      </c>
      <c r="S10" s="8" t="s">
        <v>1994</v>
      </c>
      <c r="T10" t="s">
        <v>154</v>
      </c>
      <c r="U10" s="8" t="s">
        <v>152</v>
      </c>
      <c r="V10" s="8" t="s">
        <v>154</v>
      </c>
      <c r="W10" s="8" t="s">
        <v>152</v>
      </c>
    </row>
    <row r="11" spans="1:23" x14ac:dyDescent="0.25">
      <c r="A11" s="8">
        <v>13</v>
      </c>
      <c r="B11" s="5" t="s">
        <v>107</v>
      </c>
      <c r="C11" s="5">
        <v>13</v>
      </c>
      <c r="D11" s="5">
        <v>1</v>
      </c>
      <c r="E11" s="25">
        <v>43238</v>
      </c>
      <c r="F11" s="5" t="s">
        <v>155</v>
      </c>
      <c r="G11" s="8" t="s">
        <v>146</v>
      </c>
      <c r="H11" s="8" t="s">
        <v>49</v>
      </c>
      <c r="I11" s="8">
        <v>0</v>
      </c>
      <c r="J11" s="8" t="s">
        <v>55</v>
      </c>
      <c r="K11" s="8">
        <v>0</v>
      </c>
      <c r="L11" s="8" t="s">
        <v>156</v>
      </c>
      <c r="M11" s="21">
        <v>43102</v>
      </c>
      <c r="O11" s="8" t="s">
        <v>105</v>
      </c>
      <c r="P11" s="8" t="s">
        <v>8</v>
      </c>
      <c r="R11" s="8">
        <v>0</v>
      </c>
      <c r="S11" s="8" t="s">
        <v>1995</v>
      </c>
      <c r="T11" t="s">
        <v>157</v>
      </c>
      <c r="U11" s="8" t="s">
        <v>155</v>
      </c>
      <c r="V11" s="8" t="s">
        <v>157</v>
      </c>
      <c r="W11" s="8" t="s">
        <v>155</v>
      </c>
    </row>
    <row r="12" spans="1:23" x14ac:dyDescent="0.25">
      <c r="A12" s="8">
        <v>14</v>
      </c>
      <c r="B12" s="5" t="s">
        <v>107</v>
      </c>
      <c r="C12" s="5">
        <v>14</v>
      </c>
      <c r="D12" s="5">
        <v>1</v>
      </c>
      <c r="E12" s="25">
        <v>43238</v>
      </c>
      <c r="F12" s="5" t="s">
        <v>115</v>
      </c>
      <c r="G12" s="8" t="s">
        <v>158</v>
      </c>
      <c r="H12" s="8" t="s">
        <v>49</v>
      </c>
      <c r="I12" s="8">
        <v>0</v>
      </c>
      <c r="J12" s="8" t="s">
        <v>55</v>
      </c>
      <c r="K12" s="8">
        <v>0</v>
      </c>
      <c r="L12" s="8" t="s">
        <v>159</v>
      </c>
      <c r="M12" s="21">
        <v>43102</v>
      </c>
      <c r="O12" s="8" t="s">
        <v>105</v>
      </c>
      <c r="P12" s="8" t="s">
        <v>8</v>
      </c>
      <c r="R12" s="8">
        <v>0</v>
      </c>
      <c r="S12" s="8" t="s">
        <v>1996</v>
      </c>
      <c r="T12" t="s">
        <v>160</v>
      </c>
      <c r="U12" s="8" t="s">
        <v>115</v>
      </c>
      <c r="V12" s="8" t="s">
        <v>160</v>
      </c>
      <c r="W12" s="8" t="s">
        <v>115</v>
      </c>
    </row>
    <row r="13" spans="1:23" x14ac:dyDescent="0.25">
      <c r="A13" s="8">
        <v>15</v>
      </c>
      <c r="B13" s="5" t="s">
        <v>107</v>
      </c>
      <c r="C13" s="5">
        <v>15</v>
      </c>
      <c r="D13" s="5">
        <v>1</v>
      </c>
      <c r="E13" s="25">
        <v>43238</v>
      </c>
      <c r="F13" s="5" t="s">
        <v>161</v>
      </c>
      <c r="G13" s="8" t="s">
        <v>162</v>
      </c>
      <c r="H13" s="8" t="s">
        <v>49</v>
      </c>
      <c r="I13" s="8">
        <v>0</v>
      </c>
      <c r="J13" s="8" t="s">
        <v>55</v>
      </c>
      <c r="K13" s="8">
        <v>0</v>
      </c>
      <c r="L13" s="8" t="s">
        <v>163</v>
      </c>
      <c r="M13" s="21">
        <v>43102</v>
      </c>
      <c r="O13" s="8" t="s">
        <v>105</v>
      </c>
      <c r="P13" s="8" t="s">
        <v>8</v>
      </c>
      <c r="R13" s="8">
        <v>0</v>
      </c>
      <c r="S13" s="8" t="s">
        <v>1997</v>
      </c>
      <c r="T13" t="s">
        <v>164</v>
      </c>
      <c r="U13" s="8" t="s">
        <v>161</v>
      </c>
      <c r="V13" s="8" t="s">
        <v>164</v>
      </c>
      <c r="W13" s="8" t="s">
        <v>161</v>
      </c>
    </row>
    <row r="14" spans="1:23" x14ac:dyDescent="0.25">
      <c r="A14" s="8">
        <v>16</v>
      </c>
      <c r="B14" s="5" t="s">
        <v>107</v>
      </c>
      <c r="C14" s="5">
        <v>16</v>
      </c>
      <c r="D14" s="5">
        <v>1</v>
      </c>
      <c r="E14" s="25">
        <v>43238</v>
      </c>
      <c r="F14" s="5" t="s">
        <v>165</v>
      </c>
      <c r="G14" s="8" t="s">
        <v>128</v>
      </c>
      <c r="H14" s="8" t="s">
        <v>49</v>
      </c>
      <c r="I14" s="8">
        <v>0</v>
      </c>
      <c r="J14" s="8" t="s">
        <v>55</v>
      </c>
      <c r="K14" s="8">
        <v>0</v>
      </c>
      <c r="L14" s="8" t="s">
        <v>166</v>
      </c>
      <c r="M14" s="21">
        <v>43102</v>
      </c>
      <c r="O14" s="8" t="s">
        <v>105</v>
      </c>
      <c r="P14" s="8" t="s">
        <v>8</v>
      </c>
      <c r="R14" s="8">
        <v>0</v>
      </c>
      <c r="S14" s="8" t="s">
        <v>1998</v>
      </c>
      <c r="T14" t="s">
        <v>167</v>
      </c>
      <c r="U14" s="8" t="s">
        <v>165</v>
      </c>
      <c r="V14" s="8" t="s">
        <v>167</v>
      </c>
      <c r="W14" s="8" t="s">
        <v>165</v>
      </c>
    </row>
    <row r="15" spans="1:23" x14ac:dyDescent="0.25">
      <c r="A15" s="8">
        <v>17</v>
      </c>
      <c r="B15" s="5" t="s">
        <v>107</v>
      </c>
      <c r="C15" s="5">
        <v>17</v>
      </c>
      <c r="D15" s="5">
        <v>1</v>
      </c>
      <c r="E15" s="25">
        <v>43238</v>
      </c>
      <c r="F15" s="5" t="s">
        <v>168</v>
      </c>
      <c r="G15" s="8" t="s">
        <v>137</v>
      </c>
      <c r="H15" s="8" t="s">
        <v>49</v>
      </c>
      <c r="I15" s="8">
        <v>0</v>
      </c>
      <c r="J15" s="8" t="s">
        <v>55</v>
      </c>
      <c r="K15" s="8">
        <v>0</v>
      </c>
      <c r="L15" s="8" t="s">
        <v>169</v>
      </c>
      <c r="M15" s="21">
        <v>43102</v>
      </c>
      <c r="O15" s="8" t="s">
        <v>105</v>
      </c>
      <c r="P15" s="8" t="s">
        <v>8</v>
      </c>
      <c r="R15" s="8">
        <v>0</v>
      </c>
      <c r="S15" s="8" t="s">
        <v>1999</v>
      </c>
      <c r="T15" t="s">
        <v>170</v>
      </c>
      <c r="U15" s="8" t="s">
        <v>168</v>
      </c>
      <c r="V15" s="8" t="s">
        <v>170</v>
      </c>
      <c r="W15" s="8" t="s">
        <v>168</v>
      </c>
    </row>
    <row r="16" spans="1:23" x14ac:dyDescent="0.25">
      <c r="A16" s="8">
        <v>18</v>
      </c>
      <c r="B16" s="5" t="s">
        <v>107</v>
      </c>
      <c r="C16" s="5">
        <v>18</v>
      </c>
      <c r="D16" s="5">
        <v>1</v>
      </c>
      <c r="E16" s="25">
        <v>43238</v>
      </c>
      <c r="F16" s="5" t="s">
        <v>171</v>
      </c>
      <c r="G16" s="8" t="s">
        <v>137</v>
      </c>
      <c r="H16" s="8" t="s">
        <v>49</v>
      </c>
      <c r="I16" s="8">
        <v>0</v>
      </c>
      <c r="J16" s="8" t="s">
        <v>55</v>
      </c>
      <c r="K16" s="8">
        <v>0</v>
      </c>
      <c r="L16" s="8" t="s">
        <v>169</v>
      </c>
      <c r="M16" s="21">
        <v>43102</v>
      </c>
      <c r="O16" s="8" t="s">
        <v>105</v>
      </c>
      <c r="P16" s="8" t="s">
        <v>8</v>
      </c>
      <c r="R16" s="8">
        <v>0</v>
      </c>
      <c r="S16" s="8" t="s">
        <v>2000</v>
      </c>
      <c r="T16" t="s">
        <v>172</v>
      </c>
      <c r="U16" s="8" t="s">
        <v>171</v>
      </c>
      <c r="V16" s="8" t="s">
        <v>172</v>
      </c>
      <c r="W16" s="8" t="s">
        <v>171</v>
      </c>
    </row>
    <row r="17" spans="1:23" x14ac:dyDescent="0.25">
      <c r="A17" s="8">
        <v>19</v>
      </c>
      <c r="B17" s="5" t="s">
        <v>107</v>
      </c>
      <c r="C17" s="5">
        <v>19</v>
      </c>
      <c r="D17" s="5">
        <v>1</v>
      </c>
      <c r="E17" s="25">
        <v>43238</v>
      </c>
      <c r="F17" s="5" t="s">
        <v>173</v>
      </c>
      <c r="G17" s="8" t="s">
        <v>137</v>
      </c>
      <c r="H17" s="8" t="s">
        <v>49</v>
      </c>
      <c r="I17" s="8">
        <v>0</v>
      </c>
      <c r="J17" s="8" t="s">
        <v>55</v>
      </c>
      <c r="K17" s="8">
        <v>0</v>
      </c>
      <c r="L17" s="8" t="s">
        <v>174</v>
      </c>
      <c r="M17" s="21">
        <v>43102</v>
      </c>
      <c r="O17" s="8" t="s">
        <v>105</v>
      </c>
      <c r="P17" s="8" t="s">
        <v>8</v>
      </c>
      <c r="R17" s="8">
        <v>0</v>
      </c>
      <c r="S17" s="8" t="s">
        <v>2001</v>
      </c>
      <c r="T17" t="s">
        <v>175</v>
      </c>
      <c r="U17" s="8" t="s">
        <v>173</v>
      </c>
      <c r="V17" s="8" t="s">
        <v>175</v>
      </c>
      <c r="W17" s="8" t="s">
        <v>173</v>
      </c>
    </row>
    <row r="18" spans="1:23" x14ac:dyDescent="0.25">
      <c r="A18" s="8">
        <v>20</v>
      </c>
      <c r="B18" s="5" t="s">
        <v>107</v>
      </c>
      <c r="C18" s="5">
        <v>20</v>
      </c>
      <c r="D18" s="5">
        <v>1</v>
      </c>
      <c r="E18" s="25">
        <v>43238</v>
      </c>
      <c r="F18" s="5" t="s">
        <v>121</v>
      </c>
      <c r="G18" s="8" t="s">
        <v>146</v>
      </c>
      <c r="H18" s="8" t="s">
        <v>49</v>
      </c>
      <c r="I18" s="8">
        <v>0</v>
      </c>
      <c r="J18" s="8" t="s">
        <v>55</v>
      </c>
      <c r="K18" s="8">
        <v>0</v>
      </c>
      <c r="L18" s="8" t="s">
        <v>176</v>
      </c>
      <c r="M18" s="21">
        <v>43102</v>
      </c>
      <c r="O18" s="8" t="s">
        <v>105</v>
      </c>
      <c r="P18" s="8" t="s">
        <v>8</v>
      </c>
      <c r="R18" s="8">
        <v>0</v>
      </c>
      <c r="S18" s="8" t="s">
        <v>2002</v>
      </c>
      <c r="T18" t="s">
        <v>177</v>
      </c>
      <c r="U18" s="8" t="s">
        <v>121</v>
      </c>
      <c r="V18" s="8" t="s">
        <v>177</v>
      </c>
      <c r="W18" s="8" t="s">
        <v>121</v>
      </c>
    </row>
    <row r="19" spans="1:23" x14ac:dyDescent="0.25">
      <c r="A19" s="8">
        <v>21</v>
      </c>
      <c r="B19" s="5" t="s">
        <v>107</v>
      </c>
      <c r="C19" s="5">
        <v>21</v>
      </c>
      <c r="D19" s="5">
        <v>1</v>
      </c>
      <c r="E19" s="25">
        <v>43238</v>
      </c>
      <c r="F19" s="5" t="s">
        <v>116</v>
      </c>
      <c r="G19" s="8" t="s">
        <v>146</v>
      </c>
      <c r="H19" s="8" t="s">
        <v>49</v>
      </c>
      <c r="I19" s="8">
        <v>0</v>
      </c>
      <c r="J19" s="8" t="s">
        <v>55</v>
      </c>
      <c r="K19" s="8">
        <v>0</v>
      </c>
      <c r="L19" s="8" t="s">
        <v>178</v>
      </c>
      <c r="M19" s="21">
        <v>43102</v>
      </c>
      <c r="O19" s="8" t="s">
        <v>105</v>
      </c>
      <c r="P19" s="8" t="s">
        <v>8</v>
      </c>
      <c r="R19" s="8">
        <v>0</v>
      </c>
      <c r="S19" s="8" t="s">
        <v>2003</v>
      </c>
      <c r="T19" t="s">
        <v>179</v>
      </c>
      <c r="U19" s="8" t="s">
        <v>116</v>
      </c>
      <c r="V19" s="8" t="s">
        <v>179</v>
      </c>
      <c r="W19" s="8" t="s">
        <v>116</v>
      </c>
    </row>
    <row r="20" spans="1:23" x14ac:dyDescent="0.25">
      <c r="A20" s="8">
        <v>22</v>
      </c>
      <c r="B20" s="5" t="s">
        <v>107</v>
      </c>
      <c r="C20" s="5">
        <v>22</v>
      </c>
      <c r="D20" s="5">
        <v>1</v>
      </c>
      <c r="E20" s="25">
        <v>43238</v>
      </c>
      <c r="F20" s="5" t="s">
        <v>180</v>
      </c>
      <c r="G20" s="8" t="s">
        <v>146</v>
      </c>
      <c r="H20" s="8" t="s">
        <v>49</v>
      </c>
      <c r="I20" s="8">
        <v>0</v>
      </c>
      <c r="J20" s="8" t="s">
        <v>55</v>
      </c>
      <c r="K20" s="8">
        <v>0</v>
      </c>
      <c r="L20" s="8" t="s">
        <v>181</v>
      </c>
      <c r="M20" s="21">
        <v>43102</v>
      </c>
      <c r="O20" s="8" t="s">
        <v>105</v>
      </c>
      <c r="P20" s="8" t="s">
        <v>8</v>
      </c>
      <c r="R20" s="8">
        <v>0</v>
      </c>
      <c r="S20" s="8" t="s">
        <v>2004</v>
      </c>
      <c r="T20" t="s">
        <v>182</v>
      </c>
      <c r="U20" s="8" t="s">
        <v>180</v>
      </c>
      <c r="V20" s="8" t="s">
        <v>182</v>
      </c>
      <c r="W20" s="8" t="s">
        <v>180</v>
      </c>
    </row>
    <row r="21" spans="1:23" x14ac:dyDescent="0.25">
      <c r="A21" s="8">
        <v>23</v>
      </c>
      <c r="B21" s="5" t="s">
        <v>107</v>
      </c>
      <c r="C21" s="5">
        <v>23</v>
      </c>
      <c r="D21" s="5">
        <v>1</v>
      </c>
      <c r="E21" s="25">
        <v>43238</v>
      </c>
      <c r="F21" s="5" t="s">
        <v>183</v>
      </c>
      <c r="G21" s="8" t="s">
        <v>146</v>
      </c>
      <c r="H21" s="8" t="s">
        <v>49</v>
      </c>
      <c r="I21" s="8">
        <v>0</v>
      </c>
      <c r="J21" s="8" t="s">
        <v>55</v>
      </c>
      <c r="K21" s="8">
        <v>0</v>
      </c>
      <c r="L21" s="8" t="s">
        <v>184</v>
      </c>
      <c r="M21" s="21">
        <v>43102</v>
      </c>
      <c r="O21" s="8" t="s">
        <v>105</v>
      </c>
      <c r="P21" s="8" t="s">
        <v>8</v>
      </c>
      <c r="R21" s="8">
        <v>0</v>
      </c>
      <c r="S21" s="8" t="s">
        <v>2005</v>
      </c>
      <c r="T21" t="s">
        <v>185</v>
      </c>
      <c r="U21" s="8" t="s">
        <v>183</v>
      </c>
      <c r="V21" s="8" t="s">
        <v>185</v>
      </c>
      <c r="W21" s="8" t="s">
        <v>183</v>
      </c>
    </row>
    <row r="22" spans="1:23" x14ac:dyDescent="0.25">
      <c r="A22" s="8">
        <v>24</v>
      </c>
      <c r="B22" s="5" t="s">
        <v>107</v>
      </c>
      <c r="C22" s="5">
        <v>24</v>
      </c>
      <c r="D22" s="5">
        <v>1</v>
      </c>
      <c r="E22" s="25">
        <v>43238</v>
      </c>
      <c r="F22" s="5" t="s">
        <v>186</v>
      </c>
      <c r="G22" s="8" t="s">
        <v>146</v>
      </c>
      <c r="H22" s="8" t="s">
        <v>49</v>
      </c>
      <c r="I22" s="8">
        <v>0</v>
      </c>
      <c r="J22" s="8" t="s">
        <v>55</v>
      </c>
      <c r="K22" s="8">
        <v>0</v>
      </c>
      <c r="L22" s="8" t="s">
        <v>187</v>
      </c>
      <c r="M22" s="21">
        <v>43102</v>
      </c>
      <c r="O22" s="8" t="s">
        <v>105</v>
      </c>
      <c r="P22" s="8" t="s">
        <v>8</v>
      </c>
      <c r="R22" s="8">
        <v>0</v>
      </c>
      <c r="S22" s="8" t="s">
        <v>2006</v>
      </c>
      <c r="T22" t="s">
        <v>188</v>
      </c>
      <c r="U22" s="8" t="s">
        <v>186</v>
      </c>
      <c r="V22" s="8" t="s">
        <v>188</v>
      </c>
      <c r="W22" s="8" t="s">
        <v>186</v>
      </c>
    </row>
    <row r="23" spans="1:23" x14ac:dyDescent="0.25">
      <c r="A23" s="8">
        <v>25</v>
      </c>
      <c r="B23" s="5" t="s">
        <v>107</v>
      </c>
      <c r="C23" s="5">
        <v>25</v>
      </c>
      <c r="D23" s="5">
        <v>1</v>
      </c>
      <c r="E23" s="25">
        <v>43238</v>
      </c>
      <c r="F23" s="5" t="s">
        <v>189</v>
      </c>
      <c r="G23" s="8" t="s">
        <v>162</v>
      </c>
      <c r="H23" s="8" t="s">
        <v>49</v>
      </c>
      <c r="I23" s="8">
        <v>0</v>
      </c>
      <c r="J23" s="8" t="s">
        <v>55</v>
      </c>
      <c r="K23" s="8">
        <v>0</v>
      </c>
      <c r="L23" s="8" t="s">
        <v>190</v>
      </c>
      <c r="M23" s="21">
        <v>43102</v>
      </c>
      <c r="O23" s="8" t="s">
        <v>105</v>
      </c>
      <c r="P23" s="8" t="s">
        <v>8</v>
      </c>
      <c r="R23" s="8">
        <v>0</v>
      </c>
      <c r="S23" s="8" t="s">
        <v>2007</v>
      </c>
      <c r="T23" t="s">
        <v>191</v>
      </c>
      <c r="U23" s="8" t="s">
        <v>189</v>
      </c>
      <c r="V23" s="8" t="s">
        <v>191</v>
      </c>
      <c r="W23" s="8" t="s">
        <v>189</v>
      </c>
    </row>
    <row r="24" spans="1:23" x14ac:dyDescent="0.25">
      <c r="A24" s="8">
        <v>26</v>
      </c>
      <c r="B24" s="5" t="s">
        <v>107</v>
      </c>
      <c r="C24" s="5">
        <v>26</v>
      </c>
      <c r="D24" s="5">
        <v>1</v>
      </c>
      <c r="E24" s="25">
        <v>43238</v>
      </c>
      <c r="F24" s="5" t="s">
        <v>192</v>
      </c>
      <c r="G24" s="8" t="s">
        <v>193</v>
      </c>
      <c r="H24" s="8" t="s">
        <v>49</v>
      </c>
      <c r="I24" s="8">
        <v>0</v>
      </c>
      <c r="J24" s="8" t="s">
        <v>55</v>
      </c>
      <c r="K24" s="8">
        <v>0</v>
      </c>
      <c r="L24" s="8" t="s">
        <v>194</v>
      </c>
      <c r="M24" s="21">
        <v>43102</v>
      </c>
      <c r="O24" s="8" t="s">
        <v>105</v>
      </c>
      <c r="P24" s="8" t="s">
        <v>8</v>
      </c>
      <c r="R24" s="8">
        <v>0</v>
      </c>
      <c r="S24" s="8" t="s">
        <v>2008</v>
      </c>
      <c r="T24" t="s">
        <v>195</v>
      </c>
      <c r="U24" s="8" t="s">
        <v>192</v>
      </c>
      <c r="V24" s="8" t="s">
        <v>195</v>
      </c>
      <c r="W24" s="8" t="s">
        <v>192</v>
      </c>
    </row>
    <row r="25" spans="1:23" x14ac:dyDescent="0.25">
      <c r="A25" s="8">
        <v>27</v>
      </c>
      <c r="B25" s="5" t="s">
        <v>107</v>
      </c>
      <c r="C25" s="5">
        <v>27</v>
      </c>
      <c r="D25" s="5">
        <v>1</v>
      </c>
      <c r="E25" s="25">
        <v>43238</v>
      </c>
      <c r="F25" s="5" t="s">
        <v>196</v>
      </c>
      <c r="G25" s="8" t="s">
        <v>193</v>
      </c>
      <c r="H25" s="8" t="s">
        <v>49</v>
      </c>
      <c r="I25" s="8">
        <v>0</v>
      </c>
      <c r="J25" s="8" t="s">
        <v>55</v>
      </c>
      <c r="K25" s="8">
        <v>0</v>
      </c>
      <c r="L25" s="8" t="s">
        <v>194</v>
      </c>
      <c r="M25" s="21">
        <v>43102</v>
      </c>
      <c r="O25" s="8" t="s">
        <v>105</v>
      </c>
      <c r="P25" s="8" t="s">
        <v>8</v>
      </c>
      <c r="R25" s="8">
        <v>0</v>
      </c>
      <c r="S25" s="8" t="s">
        <v>2009</v>
      </c>
      <c r="T25" t="s">
        <v>197</v>
      </c>
      <c r="U25" s="8" t="s">
        <v>196</v>
      </c>
      <c r="V25" s="8" t="s">
        <v>197</v>
      </c>
      <c r="W25" s="8" t="s">
        <v>196</v>
      </c>
    </row>
    <row r="26" spans="1:23" x14ac:dyDescent="0.25">
      <c r="A26" s="8">
        <v>28</v>
      </c>
      <c r="B26" s="5" t="s">
        <v>107</v>
      </c>
      <c r="C26" s="5">
        <v>28</v>
      </c>
      <c r="D26" s="5">
        <v>1</v>
      </c>
      <c r="E26" s="25">
        <v>43238</v>
      </c>
      <c r="F26" s="5" t="s">
        <v>198</v>
      </c>
      <c r="G26" s="8" t="s">
        <v>199</v>
      </c>
      <c r="H26" s="8" t="s">
        <v>49</v>
      </c>
      <c r="I26" s="8">
        <v>0</v>
      </c>
      <c r="J26" s="8" t="s">
        <v>55</v>
      </c>
      <c r="K26" s="8">
        <v>0</v>
      </c>
      <c r="L26" s="8" t="s">
        <v>200</v>
      </c>
      <c r="M26" s="21">
        <v>43102</v>
      </c>
      <c r="O26" s="8" t="s">
        <v>105</v>
      </c>
      <c r="P26" s="8" t="s">
        <v>8</v>
      </c>
      <c r="R26" s="8">
        <v>0</v>
      </c>
      <c r="S26" s="8" t="s">
        <v>2010</v>
      </c>
      <c r="T26" t="s">
        <v>201</v>
      </c>
      <c r="U26" s="8" t="s">
        <v>198</v>
      </c>
      <c r="V26" s="8" t="s">
        <v>201</v>
      </c>
      <c r="W26" s="8" t="s">
        <v>198</v>
      </c>
    </row>
    <row r="27" spans="1:23" x14ac:dyDescent="0.25">
      <c r="A27" s="8">
        <v>29</v>
      </c>
      <c r="B27" s="5" t="s">
        <v>107</v>
      </c>
      <c r="C27" s="5">
        <v>29</v>
      </c>
      <c r="D27" s="5">
        <v>1</v>
      </c>
      <c r="E27" s="25">
        <v>43238</v>
      </c>
      <c r="F27" s="5" t="s">
        <v>202</v>
      </c>
      <c r="G27" s="8" t="s">
        <v>199</v>
      </c>
      <c r="H27" s="8" t="s">
        <v>49</v>
      </c>
      <c r="I27" s="8">
        <v>0</v>
      </c>
      <c r="J27" s="8" t="s">
        <v>55</v>
      </c>
      <c r="K27" s="8">
        <v>0</v>
      </c>
      <c r="L27" s="8" t="s">
        <v>203</v>
      </c>
      <c r="M27" s="21">
        <v>43102</v>
      </c>
      <c r="O27" s="8" t="s">
        <v>105</v>
      </c>
      <c r="P27" s="8" t="s">
        <v>8</v>
      </c>
      <c r="R27" s="8">
        <v>0</v>
      </c>
      <c r="S27" s="8" t="s">
        <v>2011</v>
      </c>
      <c r="T27" t="s">
        <v>204</v>
      </c>
      <c r="U27" s="8" t="s">
        <v>202</v>
      </c>
      <c r="V27" s="8" t="s">
        <v>204</v>
      </c>
      <c r="W27" s="8" t="s">
        <v>202</v>
      </c>
    </row>
    <row r="28" spans="1:23" x14ac:dyDescent="0.25">
      <c r="A28" s="8">
        <v>30</v>
      </c>
      <c r="B28" s="5" t="s">
        <v>107</v>
      </c>
      <c r="C28" s="5">
        <v>30</v>
      </c>
      <c r="D28" s="5">
        <v>1</v>
      </c>
      <c r="E28" s="25">
        <v>43238</v>
      </c>
      <c r="F28" s="5" t="s">
        <v>205</v>
      </c>
      <c r="G28" s="8" t="s">
        <v>206</v>
      </c>
      <c r="H28" s="8" t="s">
        <v>49</v>
      </c>
      <c r="I28" s="8">
        <v>0</v>
      </c>
      <c r="J28" s="8" t="s">
        <v>55</v>
      </c>
      <c r="K28" s="8">
        <v>0</v>
      </c>
      <c r="L28" s="8" t="s">
        <v>207</v>
      </c>
      <c r="M28" s="21">
        <v>43102</v>
      </c>
      <c r="O28" s="8" t="s">
        <v>105</v>
      </c>
      <c r="P28" s="8" t="s">
        <v>8</v>
      </c>
      <c r="R28" s="8">
        <v>0</v>
      </c>
      <c r="S28" s="8" t="s">
        <v>2012</v>
      </c>
      <c r="T28" t="s">
        <v>208</v>
      </c>
      <c r="U28" s="8" t="s">
        <v>205</v>
      </c>
      <c r="V28" s="8" t="s">
        <v>208</v>
      </c>
      <c r="W28" s="8" t="s">
        <v>205</v>
      </c>
    </row>
    <row r="29" spans="1:23" x14ac:dyDescent="0.25">
      <c r="A29" s="8">
        <v>31</v>
      </c>
      <c r="B29" s="5" t="s">
        <v>107</v>
      </c>
      <c r="C29" s="5">
        <v>31</v>
      </c>
      <c r="D29" s="5">
        <v>1</v>
      </c>
      <c r="E29" s="25">
        <v>43238</v>
      </c>
      <c r="F29" s="5" t="s">
        <v>209</v>
      </c>
      <c r="G29" s="8" t="s">
        <v>199</v>
      </c>
      <c r="H29" s="8" t="s">
        <v>49</v>
      </c>
      <c r="I29" s="8">
        <v>0</v>
      </c>
      <c r="J29" s="8" t="s">
        <v>55</v>
      </c>
      <c r="K29" s="8">
        <v>0</v>
      </c>
      <c r="L29" s="8" t="s">
        <v>210</v>
      </c>
      <c r="M29" s="21">
        <v>43102</v>
      </c>
      <c r="O29" s="8" t="s">
        <v>105</v>
      </c>
      <c r="P29" s="8" t="s">
        <v>8</v>
      </c>
      <c r="R29" s="8">
        <v>0</v>
      </c>
      <c r="S29" s="8" t="s">
        <v>2013</v>
      </c>
      <c r="T29" t="s">
        <v>211</v>
      </c>
      <c r="U29" s="8" t="s">
        <v>209</v>
      </c>
      <c r="V29" s="8" t="s">
        <v>211</v>
      </c>
      <c r="W29" s="8" t="s">
        <v>209</v>
      </c>
    </row>
    <row r="30" spans="1:23" x14ac:dyDescent="0.25">
      <c r="A30" s="8">
        <v>32</v>
      </c>
      <c r="B30" s="5" t="s">
        <v>107</v>
      </c>
      <c r="C30" s="5">
        <v>32</v>
      </c>
      <c r="D30" s="5">
        <v>1</v>
      </c>
      <c r="E30" s="25">
        <v>43238</v>
      </c>
      <c r="F30" s="5" t="s">
        <v>212</v>
      </c>
      <c r="G30" s="8" t="s">
        <v>199</v>
      </c>
      <c r="H30" s="8" t="s">
        <v>49</v>
      </c>
      <c r="I30" s="8">
        <v>0</v>
      </c>
      <c r="J30" s="8" t="s">
        <v>55</v>
      </c>
      <c r="K30" s="8">
        <v>0</v>
      </c>
      <c r="L30" s="8" t="s">
        <v>213</v>
      </c>
      <c r="M30" s="21">
        <v>43102</v>
      </c>
      <c r="O30" s="8" t="s">
        <v>105</v>
      </c>
      <c r="P30" s="8" t="s">
        <v>8</v>
      </c>
      <c r="R30" s="8">
        <v>0</v>
      </c>
      <c r="S30" s="8" t="s">
        <v>2014</v>
      </c>
      <c r="T30" t="s">
        <v>214</v>
      </c>
      <c r="U30" s="8" t="s">
        <v>212</v>
      </c>
      <c r="V30" s="8" t="s">
        <v>214</v>
      </c>
      <c r="W30" s="8" t="s">
        <v>212</v>
      </c>
    </row>
    <row r="31" spans="1:23" x14ac:dyDescent="0.25">
      <c r="A31" s="8">
        <v>33</v>
      </c>
      <c r="B31" s="5" t="s">
        <v>107</v>
      </c>
      <c r="C31" s="5">
        <v>33</v>
      </c>
      <c r="D31" s="5">
        <v>1</v>
      </c>
      <c r="E31" s="25">
        <v>43238</v>
      </c>
      <c r="F31" s="5" t="s">
        <v>215</v>
      </c>
      <c r="G31" s="8" t="s">
        <v>146</v>
      </c>
      <c r="H31" s="8" t="s">
        <v>49</v>
      </c>
      <c r="I31" s="8">
        <v>0</v>
      </c>
      <c r="J31" s="8" t="s">
        <v>55</v>
      </c>
      <c r="K31" s="8">
        <v>0</v>
      </c>
      <c r="L31" s="8" t="s">
        <v>216</v>
      </c>
      <c r="M31" s="21">
        <v>43102</v>
      </c>
      <c r="O31" s="8" t="s">
        <v>105</v>
      </c>
      <c r="P31" s="8" t="s">
        <v>8</v>
      </c>
      <c r="R31" s="8">
        <v>0</v>
      </c>
      <c r="S31" s="8" t="s">
        <v>2015</v>
      </c>
      <c r="T31" t="s">
        <v>217</v>
      </c>
      <c r="U31" s="8" t="s">
        <v>215</v>
      </c>
      <c r="V31" s="8" t="s">
        <v>217</v>
      </c>
      <c r="W31" s="8" t="s">
        <v>215</v>
      </c>
    </row>
    <row r="32" spans="1:23" x14ac:dyDescent="0.25">
      <c r="A32" s="8">
        <v>34</v>
      </c>
      <c r="B32" s="5" t="s">
        <v>107</v>
      </c>
      <c r="C32" s="5">
        <v>34</v>
      </c>
      <c r="D32" s="5">
        <v>1</v>
      </c>
      <c r="E32" s="26">
        <v>43238</v>
      </c>
      <c r="F32" s="5" t="s">
        <v>122</v>
      </c>
      <c r="G32" s="8" t="s">
        <v>146</v>
      </c>
      <c r="H32" s="8" t="s">
        <v>49</v>
      </c>
      <c r="I32" s="8">
        <v>0</v>
      </c>
      <c r="J32" s="8" t="s">
        <v>55</v>
      </c>
      <c r="K32" s="8">
        <v>0</v>
      </c>
      <c r="L32" s="8" t="s">
        <v>218</v>
      </c>
      <c r="M32" s="21">
        <v>43102</v>
      </c>
      <c r="O32" s="8" t="s">
        <v>105</v>
      </c>
      <c r="P32" s="8" t="s">
        <v>8</v>
      </c>
      <c r="R32" s="8">
        <v>0</v>
      </c>
      <c r="S32" s="8" t="s">
        <v>2016</v>
      </c>
      <c r="T32" t="s">
        <v>219</v>
      </c>
      <c r="U32" s="8" t="s">
        <v>122</v>
      </c>
      <c r="V32" s="8" t="s">
        <v>219</v>
      </c>
      <c r="W32" s="8" t="s">
        <v>122</v>
      </c>
    </row>
    <row r="33" spans="1:23" x14ac:dyDescent="0.25">
      <c r="A33" s="8">
        <v>35</v>
      </c>
      <c r="B33" s="5" t="s">
        <v>107</v>
      </c>
      <c r="C33" s="5">
        <v>35</v>
      </c>
      <c r="D33" s="5">
        <v>1</v>
      </c>
      <c r="E33" s="26">
        <v>43238</v>
      </c>
      <c r="F33" s="5" t="s">
        <v>220</v>
      </c>
      <c r="G33" s="8" t="s">
        <v>146</v>
      </c>
      <c r="H33" s="8" t="s">
        <v>49</v>
      </c>
      <c r="I33" s="8">
        <v>0</v>
      </c>
      <c r="J33" s="8" t="s">
        <v>55</v>
      </c>
      <c r="K33" s="8">
        <v>0</v>
      </c>
      <c r="L33" s="8" t="s">
        <v>221</v>
      </c>
      <c r="M33" s="21">
        <v>43102</v>
      </c>
      <c r="O33" s="8" t="s">
        <v>105</v>
      </c>
      <c r="P33" s="8" t="s">
        <v>8</v>
      </c>
      <c r="R33" s="8">
        <v>0</v>
      </c>
      <c r="S33" s="8" t="s">
        <v>2017</v>
      </c>
      <c r="T33" t="s">
        <v>222</v>
      </c>
      <c r="U33" s="8" t="s">
        <v>220</v>
      </c>
      <c r="V33" s="8" t="s">
        <v>222</v>
      </c>
      <c r="W33" s="8" t="s">
        <v>220</v>
      </c>
    </row>
    <row r="34" spans="1:23" x14ac:dyDescent="0.25">
      <c r="A34" s="8">
        <v>36</v>
      </c>
      <c r="B34" s="5" t="s">
        <v>107</v>
      </c>
      <c r="C34" s="5">
        <v>36</v>
      </c>
      <c r="D34" s="5">
        <v>1</v>
      </c>
      <c r="E34" s="26">
        <v>43238</v>
      </c>
      <c r="F34" s="5" t="s">
        <v>223</v>
      </c>
      <c r="G34" s="8" t="s">
        <v>224</v>
      </c>
      <c r="H34" s="8" t="s">
        <v>49</v>
      </c>
      <c r="I34" s="8">
        <v>0</v>
      </c>
      <c r="J34" s="8" t="s">
        <v>55</v>
      </c>
      <c r="K34" s="8">
        <v>0</v>
      </c>
      <c r="L34" s="8" t="s">
        <v>225</v>
      </c>
      <c r="M34" s="21">
        <v>43102</v>
      </c>
      <c r="O34" s="8" t="s">
        <v>105</v>
      </c>
      <c r="P34" s="8" t="s">
        <v>8</v>
      </c>
      <c r="R34" s="8">
        <v>0</v>
      </c>
      <c r="S34" s="8" t="s">
        <v>2018</v>
      </c>
      <c r="T34" t="s">
        <v>226</v>
      </c>
      <c r="U34" s="8" t="s">
        <v>223</v>
      </c>
      <c r="V34" s="8" t="s">
        <v>226</v>
      </c>
      <c r="W34" s="8" t="s">
        <v>223</v>
      </c>
    </row>
    <row r="35" spans="1:23" x14ac:dyDescent="0.25">
      <c r="A35" s="8">
        <v>37</v>
      </c>
      <c r="B35" s="5" t="s">
        <v>107</v>
      </c>
      <c r="C35" s="5">
        <v>37</v>
      </c>
      <c r="D35" s="5">
        <v>1</v>
      </c>
      <c r="E35" s="26">
        <v>43238</v>
      </c>
      <c r="F35" s="5" t="s">
        <v>227</v>
      </c>
      <c r="G35" s="8" t="s">
        <v>224</v>
      </c>
      <c r="H35" s="8" t="s">
        <v>49</v>
      </c>
      <c r="I35" s="8">
        <v>0</v>
      </c>
      <c r="J35" s="8" t="s">
        <v>55</v>
      </c>
      <c r="K35" s="8">
        <v>0</v>
      </c>
      <c r="L35" s="8" t="s">
        <v>228</v>
      </c>
      <c r="M35" s="21">
        <v>43102</v>
      </c>
      <c r="O35" s="8" t="s">
        <v>105</v>
      </c>
      <c r="P35" s="8" t="s">
        <v>8</v>
      </c>
      <c r="R35" s="8">
        <v>0</v>
      </c>
      <c r="S35" s="8" t="s">
        <v>2019</v>
      </c>
      <c r="T35" t="s">
        <v>229</v>
      </c>
      <c r="U35" s="8" t="s">
        <v>227</v>
      </c>
      <c r="V35" s="8" t="s">
        <v>229</v>
      </c>
      <c r="W35" s="8" t="s">
        <v>227</v>
      </c>
    </row>
    <row r="36" spans="1:23" x14ac:dyDescent="0.25">
      <c r="A36" s="8">
        <v>38</v>
      </c>
      <c r="B36" s="5" t="s">
        <v>107</v>
      </c>
      <c r="C36" s="5">
        <v>38</v>
      </c>
      <c r="D36" s="5">
        <v>1</v>
      </c>
      <c r="E36" s="26">
        <v>43238</v>
      </c>
      <c r="F36" s="5" t="s">
        <v>230</v>
      </c>
      <c r="G36" s="8" t="s">
        <v>128</v>
      </c>
      <c r="H36" s="8" t="s">
        <v>49</v>
      </c>
      <c r="I36" s="8">
        <v>0</v>
      </c>
      <c r="J36" s="8" t="s">
        <v>55</v>
      </c>
      <c r="K36" s="8">
        <v>0</v>
      </c>
      <c r="L36" s="8" t="s">
        <v>231</v>
      </c>
      <c r="M36" s="21">
        <v>43102</v>
      </c>
      <c r="O36" s="8" t="s">
        <v>105</v>
      </c>
      <c r="P36" s="8" t="s">
        <v>8</v>
      </c>
      <c r="R36" s="8">
        <v>0</v>
      </c>
      <c r="S36" s="8" t="s">
        <v>2020</v>
      </c>
      <c r="T36" t="s">
        <v>232</v>
      </c>
      <c r="U36" s="8" t="s">
        <v>230</v>
      </c>
      <c r="V36" s="8" t="s">
        <v>232</v>
      </c>
      <c r="W36" s="8" t="s">
        <v>230</v>
      </c>
    </row>
    <row r="37" spans="1:23" x14ac:dyDescent="0.25">
      <c r="A37" s="8">
        <v>39</v>
      </c>
      <c r="B37" s="5" t="s">
        <v>107</v>
      </c>
      <c r="C37" s="5">
        <v>39</v>
      </c>
      <c r="D37" s="5">
        <v>1</v>
      </c>
      <c r="E37" s="26">
        <v>43238</v>
      </c>
      <c r="F37" s="5" t="s">
        <v>233</v>
      </c>
      <c r="G37" s="8" t="s">
        <v>193</v>
      </c>
      <c r="H37" s="8" t="s">
        <v>49</v>
      </c>
      <c r="I37" s="8">
        <v>0</v>
      </c>
      <c r="J37" s="8" t="s">
        <v>55</v>
      </c>
      <c r="K37" s="8">
        <v>0</v>
      </c>
      <c r="L37" s="8" t="s">
        <v>234</v>
      </c>
      <c r="M37" s="21">
        <v>43102</v>
      </c>
      <c r="O37" s="8" t="s">
        <v>105</v>
      </c>
      <c r="P37" s="8" t="s">
        <v>8</v>
      </c>
      <c r="R37" s="8">
        <v>0</v>
      </c>
      <c r="S37" s="8" t="s">
        <v>2021</v>
      </c>
      <c r="T37" t="s">
        <v>235</v>
      </c>
      <c r="U37" s="8" t="s">
        <v>233</v>
      </c>
      <c r="V37" s="8" t="s">
        <v>235</v>
      </c>
      <c r="W37" s="8" t="s">
        <v>233</v>
      </c>
    </row>
    <row r="38" spans="1:23" x14ac:dyDescent="0.25">
      <c r="A38" s="8">
        <v>40</v>
      </c>
      <c r="B38" s="5" t="s">
        <v>107</v>
      </c>
      <c r="C38" s="5">
        <v>40</v>
      </c>
      <c r="D38" s="5">
        <v>1</v>
      </c>
      <c r="E38" s="26">
        <v>43238</v>
      </c>
      <c r="F38" s="5" t="s">
        <v>236</v>
      </c>
      <c r="G38" s="8" t="s">
        <v>199</v>
      </c>
      <c r="H38" s="8" t="s">
        <v>49</v>
      </c>
      <c r="I38" s="8">
        <v>0</v>
      </c>
      <c r="J38" s="8" t="s">
        <v>55</v>
      </c>
      <c r="K38" s="8">
        <v>0</v>
      </c>
      <c r="L38" s="8" t="s">
        <v>237</v>
      </c>
      <c r="M38" s="21">
        <v>43102</v>
      </c>
      <c r="O38" s="8" t="s">
        <v>105</v>
      </c>
      <c r="P38" s="8" t="s">
        <v>8</v>
      </c>
      <c r="R38" s="8">
        <v>0</v>
      </c>
      <c r="S38" s="8" t="s">
        <v>2022</v>
      </c>
      <c r="T38" t="s">
        <v>238</v>
      </c>
      <c r="U38" s="8" t="s">
        <v>236</v>
      </c>
      <c r="V38" s="8" t="s">
        <v>238</v>
      </c>
      <c r="W38" s="8" t="s">
        <v>236</v>
      </c>
    </row>
    <row r="39" spans="1:23" x14ac:dyDescent="0.25">
      <c r="A39" s="8">
        <v>41</v>
      </c>
      <c r="B39" s="5" t="s">
        <v>107</v>
      </c>
      <c r="C39" s="5">
        <v>41</v>
      </c>
      <c r="D39" s="5">
        <v>1</v>
      </c>
      <c r="E39" s="26">
        <v>43238</v>
      </c>
      <c r="F39" s="5" t="s">
        <v>118</v>
      </c>
      <c r="G39" s="8" t="s">
        <v>199</v>
      </c>
      <c r="H39" s="8" t="s">
        <v>49</v>
      </c>
      <c r="I39" s="8">
        <v>0</v>
      </c>
      <c r="J39" s="8" t="s">
        <v>55</v>
      </c>
      <c r="K39" s="8">
        <v>0</v>
      </c>
      <c r="L39" s="8" t="s">
        <v>239</v>
      </c>
      <c r="M39" s="21">
        <v>43102</v>
      </c>
      <c r="O39" s="8" t="s">
        <v>105</v>
      </c>
      <c r="P39" s="8" t="s">
        <v>8</v>
      </c>
      <c r="R39" s="8">
        <v>0</v>
      </c>
      <c r="S39" s="8" t="s">
        <v>2023</v>
      </c>
      <c r="T39" t="s">
        <v>240</v>
      </c>
      <c r="U39" s="8" t="s">
        <v>118</v>
      </c>
      <c r="V39" s="8" t="s">
        <v>240</v>
      </c>
      <c r="W39" s="8" t="s">
        <v>118</v>
      </c>
    </row>
    <row r="40" spans="1:23" x14ac:dyDescent="0.25">
      <c r="A40" s="8">
        <v>42</v>
      </c>
      <c r="B40" s="5" t="s">
        <v>107</v>
      </c>
      <c r="C40" s="5">
        <v>42</v>
      </c>
      <c r="D40" s="5">
        <v>1</v>
      </c>
      <c r="E40" s="26">
        <v>43238</v>
      </c>
      <c r="F40" s="5" t="s">
        <v>241</v>
      </c>
      <c r="G40" s="8" t="s">
        <v>242</v>
      </c>
      <c r="H40" s="8" t="s">
        <v>49</v>
      </c>
      <c r="I40" s="8">
        <v>0</v>
      </c>
      <c r="J40" s="8" t="s">
        <v>55</v>
      </c>
      <c r="K40" s="8">
        <v>0</v>
      </c>
      <c r="L40" s="8" t="s">
        <v>243</v>
      </c>
      <c r="M40" s="21">
        <v>43102</v>
      </c>
      <c r="O40" s="8" t="s">
        <v>105</v>
      </c>
      <c r="P40" s="8" t="s">
        <v>8</v>
      </c>
      <c r="R40" s="8">
        <v>0</v>
      </c>
      <c r="S40" s="8" t="s">
        <v>2024</v>
      </c>
      <c r="T40" t="s">
        <v>244</v>
      </c>
      <c r="U40" s="8" t="s">
        <v>241</v>
      </c>
      <c r="V40" s="8" t="s">
        <v>244</v>
      </c>
      <c r="W40" s="8" t="s">
        <v>241</v>
      </c>
    </row>
    <row r="41" spans="1:23" x14ac:dyDescent="0.25">
      <c r="A41" s="8">
        <v>43</v>
      </c>
      <c r="B41" s="5" t="s">
        <v>107</v>
      </c>
      <c r="C41" s="5">
        <v>43</v>
      </c>
      <c r="D41" s="5">
        <v>1</v>
      </c>
      <c r="E41" s="26">
        <v>43238</v>
      </c>
      <c r="F41" s="5" t="s">
        <v>245</v>
      </c>
      <c r="G41" s="8" t="s">
        <v>128</v>
      </c>
      <c r="H41" s="8" t="s">
        <v>49</v>
      </c>
      <c r="I41" s="8">
        <v>0</v>
      </c>
      <c r="J41" s="8" t="s">
        <v>55</v>
      </c>
      <c r="K41" s="8">
        <v>0</v>
      </c>
      <c r="L41" s="8" t="s">
        <v>246</v>
      </c>
      <c r="M41" s="21">
        <v>43102</v>
      </c>
      <c r="O41" s="8" t="s">
        <v>105</v>
      </c>
      <c r="P41" s="8" t="s">
        <v>8</v>
      </c>
      <c r="R41" s="8">
        <v>0</v>
      </c>
      <c r="S41" s="8" t="s">
        <v>2025</v>
      </c>
      <c r="T41" t="s">
        <v>247</v>
      </c>
      <c r="U41" s="8" t="s">
        <v>245</v>
      </c>
      <c r="V41" s="8" t="s">
        <v>247</v>
      </c>
      <c r="W41" s="8" t="s">
        <v>245</v>
      </c>
    </row>
    <row r="42" spans="1:23" x14ac:dyDescent="0.25">
      <c r="A42" s="8">
        <v>44</v>
      </c>
      <c r="B42" s="5" t="s">
        <v>107</v>
      </c>
      <c r="C42" s="5">
        <v>44</v>
      </c>
      <c r="D42" s="5">
        <v>1</v>
      </c>
      <c r="E42" s="26">
        <v>43238</v>
      </c>
      <c r="F42" s="5" t="s">
        <v>248</v>
      </c>
      <c r="G42" s="8" t="s">
        <v>128</v>
      </c>
      <c r="H42" s="8" t="s">
        <v>49</v>
      </c>
      <c r="I42" s="8">
        <v>0</v>
      </c>
      <c r="J42" s="8" t="s">
        <v>55</v>
      </c>
      <c r="K42" s="8">
        <v>0</v>
      </c>
      <c r="L42" s="8" t="s">
        <v>249</v>
      </c>
      <c r="M42" s="21">
        <v>43102</v>
      </c>
      <c r="O42" s="8" t="s">
        <v>105</v>
      </c>
      <c r="P42" s="8" t="s">
        <v>8</v>
      </c>
      <c r="R42" s="8">
        <v>0</v>
      </c>
      <c r="S42" s="8" t="s">
        <v>2026</v>
      </c>
      <c r="T42" t="s">
        <v>250</v>
      </c>
      <c r="U42" s="8" t="s">
        <v>248</v>
      </c>
      <c r="V42" s="8" t="s">
        <v>250</v>
      </c>
      <c r="W42" s="8" t="s">
        <v>248</v>
      </c>
    </row>
    <row r="43" spans="1:23" x14ac:dyDescent="0.25">
      <c r="A43" s="8">
        <v>45</v>
      </c>
      <c r="B43" s="5" t="s">
        <v>107</v>
      </c>
      <c r="C43" s="5">
        <v>45</v>
      </c>
      <c r="D43" s="5">
        <v>1</v>
      </c>
      <c r="E43" s="26">
        <v>43238</v>
      </c>
      <c r="F43" s="5" t="s">
        <v>251</v>
      </c>
      <c r="G43" s="8" t="s">
        <v>128</v>
      </c>
      <c r="H43" s="8" t="s">
        <v>49</v>
      </c>
      <c r="I43" s="8">
        <v>0</v>
      </c>
      <c r="J43" s="8" t="s">
        <v>55</v>
      </c>
      <c r="K43" s="8">
        <v>0</v>
      </c>
      <c r="L43" s="8" t="s">
        <v>249</v>
      </c>
      <c r="M43" s="21">
        <v>43102</v>
      </c>
      <c r="O43" s="8" t="s">
        <v>105</v>
      </c>
      <c r="P43" s="8" t="s">
        <v>8</v>
      </c>
      <c r="R43" s="8">
        <v>0</v>
      </c>
      <c r="S43" s="8" t="s">
        <v>2027</v>
      </c>
      <c r="T43" t="s">
        <v>252</v>
      </c>
      <c r="U43" s="8" t="s">
        <v>251</v>
      </c>
      <c r="V43" s="8" t="s">
        <v>252</v>
      </c>
      <c r="W43" s="8" t="s">
        <v>251</v>
      </c>
    </row>
    <row r="44" spans="1:23" x14ac:dyDescent="0.25">
      <c r="A44" s="8">
        <v>46</v>
      </c>
      <c r="B44" s="5" t="s">
        <v>107</v>
      </c>
      <c r="C44" s="5">
        <v>46</v>
      </c>
      <c r="D44" s="5">
        <v>1</v>
      </c>
      <c r="E44" s="26">
        <v>43238</v>
      </c>
      <c r="F44" s="5" t="s">
        <v>253</v>
      </c>
      <c r="G44" s="8" t="s">
        <v>128</v>
      </c>
      <c r="H44" s="8" t="s">
        <v>49</v>
      </c>
      <c r="I44" s="8">
        <v>0</v>
      </c>
      <c r="J44" s="8" t="s">
        <v>55</v>
      </c>
      <c r="K44" s="8">
        <v>0</v>
      </c>
      <c r="L44" s="8" t="s">
        <v>254</v>
      </c>
      <c r="M44" s="21">
        <v>43102</v>
      </c>
      <c r="O44" s="8" t="s">
        <v>105</v>
      </c>
      <c r="P44" s="8" t="s">
        <v>8</v>
      </c>
      <c r="R44" s="8">
        <v>0</v>
      </c>
      <c r="S44" s="8" t="s">
        <v>2028</v>
      </c>
      <c r="T44" t="s">
        <v>255</v>
      </c>
      <c r="U44" s="8" t="s">
        <v>253</v>
      </c>
      <c r="V44" s="8" t="s">
        <v>255</v>
      </c>
      <c r="W44" s="8" t="s">
        <v>253</v>
      </c>
    </row>
    <row r="45" spans="1:23" x14ac:dyDescent="0.25">
      <c r="A45" s="8">
        <v>47</v>
      </c>
      <c r="B45" s="5" t="s">
        <v>107</v>
      </c>
      <c r="C45" s="5">
        <v>47</v>
      </c>
      <c r="D45" s="5">
        <v>1</v>
      </c>
      <c r="E45" s="26">
        <v>43238</v>
      </c>
      <c r="F45" s="5" t="s">
        <v>256</v>
      </c>
      <c r="G45" s="8" t="s">
        <v>128</v>
      </c>
      <c r="H45" s="8" t="s">
        <v>49</v>
      </c>
      <c r="I45" s="8">
        <v>0</v>
      </c>
      <c r="J45" s="8" t="s">
        <v>55</v>
      </c>
      <c r="K45" s="8">
        <v>0</v>
      </c>
      <c r="L45" s="8" t="s">
        <v>254</v>
      </c>
      <c r="M45" s="21">
        <v>43102</v>
      </c>
      <c r="O45" s="8" t="s">
        <v>105</v>
      </c>
      <c r="P45" s="8" t="s">
        <v>8</v>
      </c>
      <c r="R45" s="8">
        <v>0</v>
      </c>
      <c r="S45" s="8" t="s">
        <v>2029</v>
      </c>
      <c r="T45" t="s">
        <v>257</v>
      </c>
      <c r="U45" s="8" t="s">
        <v>256</v>
      </c>
      <c r="V45" s="8" t="s">
        <v>257</v>
      </c>
      <c r="W45" s="8" t="s">
        <v>256</v>
      </c>
    </row>
    <row r="46" spans="1:23" x14ac:dyDescent="0.25">
      <c r="A46" s="8">
        <v>48</v>
      </c>
      <c r="B46" s="5" t="s">
        <v>107</v>
      </c>
      <c r="C46" s="5">
        <v>48</v>
      </c>
      <c r="D46" s="5">
        <v>1</v>
      </c>
      <c r="E46" s="26">
        <v>43238</v>
      </c>
      <c r="F46" s="5" t="s">
        <v>258</v>
      </c>
      <c r="G46" s="8" t="s">
        <v>128</v>
      </c>
      <c r="H46" s="8" t="s">
        <v>49</v>
      </c>
      <c r="I46" s="8">
        <v>0</v>
      </c>
      <c r="J46" s="8" t="s">
        <v>55</v>
      </c>
      <c r="K46" s="8">
        <v>0</v>
      </c>
      <c r="L46" s="8" t="s">
        <v>259</v>
      </c>
      <c r="M46" s="21">
        <v>43102</v>
      </c>
      <c r="O46" s="8" t="s">
        <v>105</v>
      </c>
      <c r="P46" s="8" t="s">
        <v>8</v>
      </c>
      <c r="R46" s="8">
        <v>0</v>
      </c>
      <c r="S46" s="8" t="s">
        <v>2030</v>
      </c>
      <c r="T46" t="s">
        <v>260</v>
      </c>
      <c r="U46" s="8" t="s">
        <v>258</v>
      </c>
      <c r="V46" s="8" t="s">
        <v>260</v>
      </c>
      <c r="W46" s="8" t="s">
        <v>258</v>
      </c>
    </row>
    <row r="47" spans="1:23" x14ac:dyDescent="0.25">
      <c r="A47" s="8">
        <v>49</v>
      </c>
      <c r="B47" s="5" t="s">
        <v>107</v>
      </c>
      <c r="C47" s="5">
        <v>49</v>
      </c>
      <c r="D47" s="5">
        <v>1</v>
      </c>
      <c r="E47" s="26">
        <v>43238</v>
      </c>
      <c r="F47" s="5" t="s">
        <v>261</v>
      </c>
      <c r="G47" s="8" t="s">
        <v>128</v>
      </c>
      <c r="H47" s="8" t="s">
        <v>49</v>
      </c>
      <c r="I47" s="8">
        <v>0</v>
      </c>
      <c r="J47" s="8" t="s">
        <v>55</v>
      </c>
      <c r="K47" s="8">
        <v>0</v>
      </c>
      <c r="L47" s="8" t="s">
        <v>262</v>
      </c>
      <c r="M47" s="21">
        <v>43102</v>
      </c>
      <c r="O47" s="8" t="s">
        <v>105</v>
      </c>
      <c r="P47" s="8" t="s">
        <v>8</v>
      </c>
      <c r="R47" s="8">
        <v>0</v>
      </c>
      <c r="S47" s="8" t="s">
        <v>2031</v>
      </c>
      <c r="T47" t="s">
        <v>263</v>
      </c>
      <c r="U47" s="8" t="s">
        <v>261</v>
      </c>
      <c r="V47" s="8" t="s">
        <v>263</v>
      </c>
      <c r="W47" s="8" t="s">
        <v>261</v>
      </c>
    </row>
    <row r="48" spans="1:23" x14ac:dyDescent="0.25">
      <c r="A48" s="8">
        <v>50</v>
      </c>
      <c r="B48" s="5" t="s">
        <v>107</v>
      </c>
      <c r="C48" s="5">
        <v>50</v>
      </c>
      <c r="D48" s="5">
        <v>1</v>
      </c>
      <c r="E48" s="26">
        <v>43238</v>
      </c>
      <c r="F48" s="5" t="s">
        <v>264</v>
      </c>
      <c r="G48" s="8" t="s">
        <v>224</v>
      </c>
      <c r="H48" s="8" t="s">
        <v>49</v>
      </c>
      <c r="I48" s="8">
        <v>0</v>
      </c>
      <c r="J48" s="8" t="s">
        <v>55</v>
      </c>
      <c r="K48" s="8">
        <v>0</v>
      </c>
      <c r="L48" s="8" t="s">
        <v>265</v>
      </c>
      <c r="M48" s="21">
        <v>43102</v>
      </c>
      <c r="O48" s="8" t="s">
        <v>105</v>
      </c>
      <c r="P48" s="8" t="s">
        <v>8</v>
      </c>
      <c r="R48" s="8">
        <v>0</v>
      </c>
      <c r="S48" s="8" t="s">
        <v>2032</v>
      </c>
      <c r="T48" t="s">
        <v>266</v>
      </c>
      <c r="U48" s="8" t="s">
        <v>264</v>
      </c>
      <c r="V48" s="8" t="s">
        <v>266</v>
      </c>
      <c r="W48" s="8" t="s">
        <v>264</v>
      </c>
    </row>
    <row r="49" spans="1:23" x14ac:dyDescent="0.25">
      <c r="A49" s="8">
        <v>51</v>
      </c>
      <c r="B49" s="5" t="s">
        <v>107</v>
      </c>
      <c r="C49" s="5">
        <v>51</v>
      </c>
      <c r="D49" s="5">
        <v>1</v>
      </c>
      <c r="E49" s="26">
        <v>43238</v>
      </c>
      <c r="F49" s="5" t="s">
        <v>267</v>
      </c>
      <c r="G49" s="8" t="s">
        <v>224</v>
      </c>
      <c r="H49" s="8" t="s">
        <v>49</v>
      </c>
      <c r="I49" s="8">
        <v>0</v>
      </c>
      <c r="J49" s="8" t="s">
        <v>55</v>
      </c>
      <c r="K49" s="8">
        <v>0</v>
      </c>
      <c r="L49" s="8" t="s">
        <v>265</v>
      </c>
      <c r="M49" s="21">
        <v>43102</v>
      </c>
      <c r="O49" s="8" t="s">
        <v>105</v>
      </c>
      <c r="P49" s="8" t="s">
        <v>8</v>
      </c>
      <c r="R49" s="8">
        <v>0</v>
      </c>
      <c r="S49" s="8" t="s">
        <v>2033</v>
      </c>
      <c r="T49" t="s">
        <v>268</v>
      </c>
      <c r="U49" s="8" t="s">
        <v>267</v>
      </c>
      <c r="V49" s="8" t="s">
        <v>268</v>
      </c>
      <c r="W49" s="8" t="s">
        <v>267</v>
      </c>
    </row>
    <row r="50" spans="1:23" x14ac:dyDescent="0.25">
      <c r="A50" s="8">
        <v>52</v>
      </c>
      <c r="B50" s="5" t="s">
        <v>107</v>
      </c>
      <c r="C50" s="5">
        <v>52</v>
      </c>
      <c r="D50" s="5">
        <v>1</v>
      </c>
      <c r="E50" s="26">
        <v>43238</v>
      </c>
      <c r="F50" s="5" t="s">
        <v>269</v>
      </c>
      <c r="G50" s="8" t="s">
        <v>224</v>
      </c>
      <c r="H50" s="8" t="s">
        <v>49</v>
      </c>
      <c r="I50" s="8">
        <v>0</v>
      </c>
      <c r="J50" s="8" t="s">
        <v>55</v>
      </c>
      <c r="K50" s="8">
        <v>0</v>
      </c>
      <c r="L50" s="8" t="s">
        <v>270</v>
      </c>
      <c r="M50" s="21">
        <v>43102</v>
      </c>
      <c r="O50" s="8" t="s">
        <v>105</v>
      </c>
      <c r="P50" s="8" t="s">
        <v>8</v>
      </c>
      <c r="R50" s="8">
        <v>0</v>
      </c>
      <c r="S50" s="8" t="s">
        <v>2034</v>
      </c>
      <c r="T50" t="s">
        <v>271</v>
      </c>
      <c r="U50" s="8" t="s">
        <v>269</v>
      </c>
      <c r="V50" s="8" t="s">
        <v>271</v>
      </c>
      <c r="W50" s="8" t="s">
        <v>269</v>
      </c>
    </row>
    <row r="51" spans="1:23" x14ac:dyDescent="0.25">
      <c r="A51" s="8">
        <v>53</v>
      </c>
      <c r="B51" s="5" t="s">
        <v>107</v>
      </c>
      <c r="C51" s="5">
        <v>53</v>
      </c>
      <c r="D51" s="5">
        <v>1</v>
      </c>
      <c r="E51" s="26">
        <v>43238</v>
      </c>
      <c r="F51" s="5" t="s">
        <v>272</v>
      </c>
      <c r="G51" s="8" t="s">
        <v>224</v>
      </c>
      <c r="H51" s="8" t="s">
        <v>49</v>
      </c>
      <c r="I51" s="8">
        <v>0</v>
      </c>
      <c r="J51" s="8" t="s">
        <v>55</v>
      </c>
      <c r="K51" s="8">
        <v>0</v>
      </c>
      <c r="L51" s="8" t="s">
        <v>270</v>
      </c>
      <c r="M51" s="21">
        <v>43102</v>
      </c>
      <c r="O51" s="8" t="s">
        <v>105</v>
      </c>
      <c r="P51" s="8" t="s">
        <v>8</v>
      </c>
      <c r="R51" s="8">
        <v>0</v>
      </c>
      <c r="S51" s="8" t="s">
        <v>2035</v>
      </c>
      <c r="T51" t="s">
        <v>273</v>
      </c>
      <c r="U51" s="8" t="s">
        <v>272</v>
      </c>
      <c r="V51" s="8" t="s">
        <v>273</v>
      </c>
      <c r="W51" s="8" t="s">
        <v>272</v>
      </c>
    </row>
    <row r="52" spans="1:23" x14ac:dyDescent="0.25">
      <c r="A52" s="8">
        <v>54</v>
      </c>
      <c r="B52" s="5" t="s">
        <v>107</v>
      </c>
      <c r="C52" s="5">
        <v>54</v>
      </c>
      <c r="D52" s="5">
        <v>1</v>
      </c>
      <c r="E52" s="26">
        <v>43238</v>
      </c>
      <c r="F52" s="5" t="s">
        <v>274</v>
      </c>
      <c r="G52" s="8" t="s">
        <v>224</v>
      </c>
      <c r="H52" s="8" t="s">
        <v>49</v>
      </c>
      <c r="I52" s="8">
        <v>0</v>
      </c>
      <c r="J52" s="8" t="s">
        <v>55</v>
      </c>
      <c r="K52" s="8">
        <v>0</v>
      </c>
      <c r="L52" s="8" t="s">
        <v>275</v>
      </c>
      <c r="M52" s="21">
        <v>43102</v>
      </c>
      <c r="O52" s="8" t="s">
        <v>105</v>
      </c>
      <c r="P52" s="8" t="s">
        <v>8</v>
      </c>
      <c r="R52" s="8">
        <v>0</v>
      </c>
      <c r="S52" s="8" t="s">
        <v>2036</v>
      </c>
      <c r="T52" t="s">
        <v>276</v>
      </c>
      <c r="U52" s="8" t="s">
        <v>274</v>
      </c>
      <c r="V52" s="8" t="s">
        <v>276</v>
      </c>
      <c r="W52" s="8" t="s">
        <v>274</v>
      </c>
    </row>
    <row r="53" spans="1:23" x14ac:dyDescent="0.25">
      <c r="A53" s="8">
        <v>55</v>
      </c>
      <c r="B53" s="5" t="s">
        <v>107</v>
      </c>
      <c r="C53" s="5">
        <v>55</v>
      </c>
      <c r="D53" s="5">
        <v>1</v>
      </c>
      <c r="E53" s="26">
        <v>43238</v>
      </c>
      <c r="F53" s="5" t="s">
        <v>277</v>
      </c>
      <c r="G53" s="8" t="s">
        <v>224</v>
      </c>
      <c r="H53" s="8" t="s">
        <v>49</v>
      </c>
      <c r="I53" s="8">
        <v>0</v>
      </c>
      <c r="J53" s="8" t="s">
        <v>55</v>
      </c>
      <c r="K53" s="8">
        <v>0</v>
      </c>
      <c r="L53" s="8" t="s">
        <v>275</v>
      </c>
      <c r="M53" s="21">
        <v>43102</v>
      </c>
      <c r="O53" s="8" t="s">
        <v>105</v>
      </c>
      <c r="P53" s="8" t="s">
        <v>8</v>
      </c>
      <c r="R53" s="8">
        <v>0</v>
      </c>
      <c r="S53" s="8" t="s">
        <v>2037</v>
      </c>
      <c r="T53" t="s">
        <v>278</v>
      </c>
      <c r="U53" s="8" t="s">
        <v>277</v>
      </c>
      <c r="V53" s="8" t="s">
        <v>278</v>
      </c>
      <c r="W53" s="8" t="s">
        <v>277</v>
      </c>
    </row>
    <row r="54" spans="1:23" x14ac:dyDescent="0.25">
      <c r="A54" s="8">
        <v>56</v>
      </c>
      <c r="B54" s="5" t="s">
        <v>107</v>
      </c>
      <c r="C54" s="5">
        <v>56</v>
      </c>
      <c r="D54" s="5">
        <v>1</v>
      </c>
      <c r="E54" s="26">
        <v>43238</v>
      </c>
      <c r="F54" s="5" t="s">
        <v>279</v>
      </c>
      <c r="G54" s="8" t="s">
        <v>128</v>
      </c>
      <c r="H54" s="8" t="s">
        <v>49</v>
      </c>
      <c r="I54" s="8">
        <v>0</v>
      </c>
      <c r="J54" s="8" t="s">
        <v>55</v>
      </c>
      <c r="K54" s="8">
        <v>0</v>
      </c>
      <c r="L54" s="8" t="s">
        <v>280</v>
      </c>
      <c r="M54" s="21">
        <v>43102</v>
      </c>
      <c r="O54" s="8" t="s">
        <v>105</v>
      </c>
      <c r="P54" s="8" t="s">
        <v>8</v>
      </c>
      <c r="R54" s="8">
        <v>0</v>
      </c>
      <c r="S54" s="8" t="s">
        <v>2038</v>
      </c>
      <c r="T54" t="s">
        <v>281</v>
      </c>
      <c r="U54" s="8" t="s">
        <v>279</v>
      </c>
      <c r="V54" s="8" t="s">
        <v>281</v>
      </c>
      <c r="W54" s="8" t="s">
        <v>279</v>
      </c>
    </row>
    <row r="55" spans="1:23" x14ac:dyDescent="0.25">
      <c r="A55" s="8">
        <v>57</v>
      </c>
      <c r="B55" s="5" t="s">
        <v>107</v>
      </c>
      <c r="C55" s="5">
        <v>57</v>
      </c>
      <c r="D55" s="5">
        <v>1</v>
      </c>
      <c r="E55" s="26">
        <v>43238</v>
      </c>
      <c r="F55" s="5" t="s">
        <v>282</v>
      </c>
      <c r="G55" s="8" t="s">
        <v>283</v>
      </c>
      <c r="H55" s="8" t="s">
        <v>49</v>
      </c>
      <c r="I55" s="8">
        <v>0</v>
      </c>
      <c r="J55" s="8" t="s">
        <v>55</v>
      </c>
      <c r="K55" s="8">
        <v>0</v>
      </c>
      <c r="L55" s="8" t="s">
        <v>284</v>
      </c>
      <c r="M55" s="21">
        <v>43102</v>
      </c>
      <c r="O55" s="8" t="s">
        <v>105</v>
      </c>
      <c r="P55" s="8" t="s">
        <v>8</v>
      </c>
      <c r="R55" s="8">
        <v>0</v>
      </c>
      <c r="S55" s="8" t="s">
        <v>2039</v>
      </c>
      <c r="T55" t="s">
        <v>285</v>
      </c>
      <c r="U55" s="8" t="s">
        <v>282</v>
      </c>
      <c r="V55" s="8" t="s">
        <v>285</v>
      </c>
      <c r="W55" s="8" t="s">
        <v>282</v>
      </c>
    </row>
    <row r="56" spans="1:23" x14ac:dyDescent="0.25">
      <c r="A56" s="8">
        <v>58</v>
      </c>
      <c r="B56" s="5" t="s">
        <v>107</v>
      </c>
      <c r="C56" s="5">
        <v>58</v>
      </c>
      <c r="D56" s="5">
        <v>1</v>
      </c>
      <c r="E56" s="26">
        <v>43238</v>
      </c>
      <c r="F56" s="5" t="s">
        <v>286</v>
      </c>
      <c r="G56" s="8" t="s">
        <v>283</v>
      </c>
      <c r="H56" s="8" t="s">
        <v>49</v>
      </c>
      <c r="I56" s="8">
        <v>0</v>
      </c>
      <c r="J56" s="8" t="s">
        <v>55</v>
      </c>
      <c r="K56" s="8">
        <v>0</v>
      </c>
      <c r="L56" s="8" t="s">
        <v>284</v>
      </c>
      <c r="M56" s="21">
        <v>43102</v>
      </c>
      <c r="O56" s="8" t="s">
        <v>105</v>
      </c>
      <c r="P56" s="8" t="s">
        <v>8</v>
      </c>
      <c r="R56" s="8">
        <v>0</v>
      </c>
      <c r="S56" s="8" t="s">
        <v>2040</v>
      </c>
      <c r="T56" t="s">
        <v>287</v>
      </c>
      <c r="U56" s="8" t="s">
        <v>286</v>
      </c>
      <c r="V56" s="8" t="s">
        <v>287</v>
      </c>
      <c r="W56" s="8" t="s">
        <v>286</v>
      </c>
    </row>
    <row r="57" spans="1:23" x14ac:dyDescent="0.25">
      <c r="A57" s="8">
        <v>59</v>
      </c>
      <c r="B57" s="5" t="s">
        <v>107</v>
      </c>
      <c r="C57" s="5">
        <v>59</v>
      </c>
      <c r="D57" s="5">
        <v>1</v>
      </c>
      <c r="E57" s="26">
        <v>43238</v>
      </c>
      <c r="F57" s="5" t="s">
        <v>288</v>
      </c>
      <c r="G57" s="8" t="s">
        <v>289</v>
      </c>
      <c r="H57" s="8" t="s">
        <v>49</v>
      </c>
      <c r="I57" s="8">
        <v>0</v>
      </c>
      <c r="J57" s="8" t="s">
        <v>55</v>
      </c>
      <c r="K57" s="8">
        <v>0</v>
      </c>
      <c r="L57" s="8" t="s">
        <v>290</v>
      </c>
      <c r="M57" s="21">
        <v>43102</v>
      </c>
      <c r="O57" s="8" t="s">
        <v>105</v>
      </c>
      <c r="P57" s="8" t="s">
        <v>8</v>
      </c>
      <c r="R57" s="8">
        <v>0</v>
      </c>
      <c r="S57" s="8" t="s">
        <v>2041</v>
      </c>
      <c r="T57" t="s">
        <v>291</v>
      </c>
      <c r="U57" s="8" t="s">
        <v>288</v>
      </c>
      <c r="V57" s="8" t="s">
        <v>291</v>
      </c>
      <c r="W57" s="8" t="s">
        <v>288</v>
      </c>
    </row>
    <row r="58" spans="1:23" x14ac:dyDescent="0.25">
      <c r="A58" s="8">
        <v>60</v>
      </c>
      <c r="B58" s="5" t="s">
        <v>107</v>
      </c>
      <c r="C58" s="5">
        <v>60</v>
      </c>
      <c r="D58" s="5">
        <v>1</v>
      </c>
      <c r="E58" s="26">
        <v>43238</v>
      </c>
      <c r="F58" s="5" t="s">
        <v>292</v>
      </c>
      <c r="G58" s="8" t="s">
        <v>293</v>
      </c>
      <c r="H58" s="8" t="s">
        <v>49</v>
      </c>
      <c r="I58" s="8">
        <v>0</v>
      </c>
      <c r="J58" s="8" t="s">
        <v>55</v>
      </c>
      <c r="K58" s="8">
        <v>0</v>
      </c>
      <c r="L58" s="8" t="s">
        <v>294</v>
      </c>
      <c r="M58" s="21">
        <v>43102</v>
      </c>
      <c r="O58" s="8" t="s">
        <v>105</v>
      </c>
      <c r="P58" s="8" t="s">
        <v>8</v>
      </c>
      <c r="R58" s="8">
        <v>0</v>
      </c>
      <c r="S58" s="8" t="s">
        <v>2042</v>
      </c>
      <c r="T58" t="s">
        <v>295</v>
      </c>
      <c r="U58" s="8" t="s">
        <v>292</v>
      </c>
      <c r="V58" s="8" t="s">
        <v>295</v>
      </c>
      <c r="W58" s="8" t="s">
        <v>292</v>
      </c>
    </row>
    <row r="59" spans="1:23" x14ac:dyDescent="0.25">
      <c r="A59" s="8">
        <v>61</v>
      </c>
      <c r="B59" s="5" t="s">
        <v>107</v>
      </c>
      <c r="C59" s="5">
        <v>61</v>
      </c>
      <c r="D59" s="5">
        <v>1</v>
      </c>
      <c r="E59" s="26">
        <v>43238</v>
      </c>
      <c r="F59" s="5" t="s">
        <v>296</v>
      </c>
      <c r="G59" s="8" t="s">
        <v>289</v>
      </c>
      <c r="H59" s="8" t="s">
        <v>49</v>
      </c>
      <c r="I59" s="8">
        <v>0</v>
      </c>
      <c r="J59" s="8" t="s">
        <v>55</v>
      </c>
      <c r="K59" s="8">
        <v>0</v>
      </c>
      <c r="L59" s="8" t="s">
        <v>297</v>
      </c>
      <c r="M59" s="21">
        <v>43102</v>
      </c>
      <c r="O59" s="8" t="s">
        <v>105</v>
      </c>
      <c r="P59" s="8" t="s">
        <v>8</v>
      </c>
      <c r="R59" s="8">
        <v>0</v>
      </c>
      <c r="S59" s="8" t="s">
        <v>2043</v>
      </c>
      <c r="T59" t="s">
        <v>298</v>
      </c>
      <c r="U59" s="8" t="s">
        <v>296</v>
      </c>
      <c r="V59" s="8" t="s">
        <v>298</v>
      </c>
      <c r="W59" s="8" t="s">
        <v>296</v>
      </c>
    </row>
    <row r="60" spans="1:23" x14ac:dyDescent="0.25">
      <c r="A60" s="8">
        <v>62</v>
      </c>
      <c r="B60" s="5" t="s">
        <v>107</v>
      </c>
      <c r="C60" s="5">
        <v>62</v>
      </c>
      <c r="D60" s="5">
        <v>1</v>
      </c>
      <c r="E60" s="26">
        <v>43238</v>
      </c>
      <c r="F60" s="5" t="s">
        <v>299</v>
      </c>
      <c r="G60" s="8" t="s">
        <v>289</v>
      </c>
      <c r="H60" s="8" t="s">
        <v>49</v>
      </c>
      <c r="I60" s="8">
        <v>0</v>
      </c>
      <c r="J60" s="8" t="s">
        <v>55</v>
      </c>
      <c r="K60" s="8">
        <v>0</v>
      </c>
      <c r="L60" s="8" t="s">
        <v>297</v>
      </c>
      <c r="M60" s="21">
        <v>43102</v>
      </c>
      <c r="O60" s="8" t="s">
        <v>105</v>
      </c>
      <c r="P60" s="8" t="s">
        <v>8</v>
      </c>
      <c r="R60" s="8">
        <v>0</v>
      </c>
      <c r="S60" s="8" t="s">
        <v>2044</v>
      </c>
      <c r="T60" t="s">
        <v>300</v>
      </c>
      <c r="U60" s="8" t="s">
        <v>299</v>
      </c>
      <c r="V60" s="8" t="s">
        <v>300</v>
      </c>
      <c r="W60" s="8" t="s">
        <v>299</v>
      </c>
    </row>
    <row r="61" spans="1:23" x14ac:dyDescent="0.25">
      <c r="A61" s="8">
        <v>63</v>
      </c>
      <c r="B61" s="5" t="s">
        <v>107</v>
      </c>
      <c r="C61" s="5">
        <v>63</v>
      </c>
      <c r="D61" s="5">
        <v>1</v>
      </c>
      <c r="E61" s="26">
        <v>43238</v>
      </c>
      <c r="F61" s="5" t="s">
        <v>301</v>
      </c>
      <c r="G61" s="8" t="s">
        <v>302</v>
      </c>
      <c r="H61" s="8" t="s">
        <v>49</v>
      </c>
      <c r="I61" s="8">
        <v>0</v>
      </c>
      <c r="J61" s="8" t="s">
        <v>55</v>
      </c>
      <c r="K61" s="8">
        <v>0</v>
      </c>
      <c r="L61" s="8" t="s">
        <v>303</v>
      </c>
      <c r="M61" s="21">
        <v>43102</v>
      </c>
      <c r="O61" s="8" t="s">
        <v>105</v>
      </c>
      <c r="P61" s="8" t="s">
        <v>8</v>
      </c>
      <c r="R61" s="8">
        <v>0</v>
      </c>
      <c r="S61" s="8" t="s">
        <v>2045</v>
      </c>
      <c r="T61" t="s">
        <v>304</v>
      </c>
      <c r="U61" s="8" t="s">
        <v>301</v>
      </c>
      <c r="V61" s="8" t="s">
        <v>304</v>
      </c>
      <c r="W61" s="8" t="s">
        <v>301</v>
      </c>
    </row>
    <row r="62" spans="1:23" x14ac:dyDescent="0.25">
      <c r="A62" s="8">
        <v>64</v>
      </c>
      <c r="B62" s="5" t="s">
        <v>107</v>
      </c>
      <c r="C62" s="5">
        <v>64</v>
      </c>
      <c r="D62" s="5">
        <v>1</v>
      </c>
      <c r="E62" s="26">
        <v>43238</v>
      </c>
      <c r="F62" s="5" t="s">
        <v>305</v>
      </c>
      <c r="G62" s="8" t="s">
        <v>306</v>
      </c>
      <c r="H62" s="8" t="s">
        <v>49</v>
      </c>
      <c r="I62" s="8">
        <v>0</v>
      </c>
      <c r="J62" s="8" t="s">
        <v>55</v>
      </c>
      <c r="K62" s="8">
        <v>0</v>
      </c>
      <c r="L62" s="8" t="s">
        <v>307</v>
      </c>
      <c r="M62" s="21">
        <v>43102</v>
      </c>
      <c r="O62" s="8" t="s">
        <v>105</v>
      </c>
      <c r="P62" s="8" t="s">
        <v>8</v>
      </c>
      <c r="R62" s="8">
        <v>0</v>
      </c>
      <c r="S62" s="8" t="s">
        <v>2046</v>
      </c>
      <c r="T62" t="s">
        <v>308</v>
      </c>
      <c r="U62" s="8" t="s">
        <v>305</v>
      </c>
      <c r="V62" s="8" t="s">
        <v>308</v>
      </c>
      <c r="W62" s="8" t="s">
        <v>305</v>
      </c>
    </row>
    <row r="63" spans="1:23" x14ac:dyDescent="0.25">
      <c r="A63" s="8">
        <v>65</v>
      </c>
      <c r="B63" s="5" t="s">
        <v>107</v>
      </c>
      <c r="C63" s="5">
        <v>65</v>
      </c>
      <c r="D63" s="5">
        <v>1</v>
      </c>
      <c r="E63" s="26">
        <v>43238</v>
      </c>
      <c r="F63" s="5" t="s">
        <v>309</v>
      </c>
      <c r="G63" s="8" t="s">
        <v>306</v>
      </c>
      <c r="H63" s="8" t="s">
        <v>49</v>
      </c>
      <c r="I63" s="8">
        <v>0</v>
      </c>
      <c r="J63" s="8" t="s">
        <v>55</v>
      </c>
      <c r="K63" s="8">
        <v>0</v>
      </c>
      <c r="L63" s="8" t="s">
        <v>307</v>
      </c>
      <c r="M63" s="21">
        <v>43102</v>
      </c>
      <c r="O63" s="8" t="s">
        <v>105</v>
      </c>
      <c r="P63" s="8" t="s">
        <v>8</v>
      </c>
      <c r="R63" s="8">
        <v>0</v>
      </c>
      <c r="S63" s="8" t="s">
        <v>2047</v>
      </c>
      <c r="T63" t="s">
        <v>310</v>
      </c>
      <c r="U63" s="8" t="s">
        <v>309</v>
      </c>
      <c r="V63" s="8" t="s">
        <v>310</v>
      </c>
      <c r="W63" s="8" t="s">
        <v>309</v>
      </c>
    </row>
    <row r="64" spans="1:23" x14ac:dyDescent="0.25">
      <c r="A64" s="8">
        <v>66</v>
      </c>
      <c r="B64" s="5" t="s">
        <v>107</v>
      </c>
      <c r="C64" s="5">
        <v>66</v>
      </c>
      <c r="D64" s="5">
        <v>1</v>
      </c>
      <c r="E64" s="26">
        <v>43238</v>
      </c>
      <c r="F64" s="5" t="s">
        <v>311</v>
      </c>
      <c r="G64" s="8" t="s">
        <v>312</v>
      </c>
      <c r="H64" s="8" t="s">
        <v>49</v>
      </c>
      <c r="I64" s="8">
        <v>0</v>
      </c>
      <c r="J64" s="8" t="s">
        <v>55</v>
      </c>
      <c r="K64" s="8">
        <v>0</v>
      </c>
      <c r="L64" s="8" t="s">
        <v>313</v>
      </c>
      <c r="M64" s="21">
        <v>43102</v>
      </c>
      <c r="O64" s="8" t="s">
        <v>105</v>
      </c>
      <c r="P64" s="8" t="s">
        <v>8</v>
      </c>
      <c r="R64" s="8">
        <v>0</v>
      </c>
      <c r="S64" s="8" t="s">
        <v>2048</v>
      </c>
      <c r="T64" t="s">
        <v>314</v>
      </c>
      <c r="U64" s="8" t="s">
        <v>311</v>
      </c>
      <c r="V64" s="8" t="s">
        <v>314</v>
      </c>
      <c r="W64" s="8" t="s">
        <v>311</v>
      </c>
    </row>
    <row r="65" spans="1:23" x14ac:dyDescent="0.25">
      <c r="A65" s="8">
        <v>67</v>
      </c>
      <c r="B65" s="5" t="s">
        <v>107</v>
      </c>
      <c r="C65" s="5">
        <v>67</v>
      </c>
      <c r="D65" s="5">
        <v>1</v>
      </c>
      <c r="E65" s="26">
        <v>43238</v>
      </c>
      <c r="F65" s="5" t="s">
        <v>315</v>
      </c>
      <c r="G65" s="8" t="s">
        <v>137</v>
      </c>
      <c r="H65" s="8" t="s">
        <v>49</v>
      </c>
      <c r="I65" s="8">
        <v>0</v>
      </c>
      <c r="J65" s="8" t="s">
        <v>55</v>
      </c>
      <c r="K65" s="8">
        <v>0</v>
      </c>
      <c r="L65" s="8" t="s">
        <v>316</v>
      </c>
      <c r="M65" s="21">
        <v>43102</v>
      </c>
      <c r="O65" s="8" t="s">
        <v>105</v>
      </c>
      <c r="P65" s="8" t="s">
        <v>8</v>
      </c>
      <c r="R65" s="8">
        <v>0</v>
      </c>
      <c r="S65" s="8" t="s">
        <v>2049</v>
      </c>
      <c r="T65" t="s">
        <v>317</v>
      </c>
      <c r="U65" s="8" t="s">
        <v>315</v>
      </c>
      <c r="V65" s="8" t="s">
        <v>317</v>
      </c>
      <c r="W65" s="8" t="s">
        <v>315</v>
      </c>
    </row>
    <row r="66" spans="1:23" x14ac:dyDescent="0.25">
      <c r="A66" s="8">
        <v>68</v>
      </c>
      <c r="B66" s="5" t="s">
        <v>107</v>
      </c>
      <c r="C66" s="5">
        <v>68</v>
      </c>
      <c r="D66" s="5">
        <v>1</v>
      </c>
      <c r="E66" s="26">
        <v>43238</v>
      </c>
      <c r="F66" s="5" t="s">
        <v>318</v>
      </c>
      <c r="G66" s="8" t="s">
        <v>312</v>
      </c>
      <c r="H66" s="8" t="s">
        <v>49</v>
      </c>
      <c r="I66" s="8">
        <v>0</v>
      </c>
      <c r="J66" s="8" t="s">
        <v>55</v>
      </c>
      <c r="K66" s="8">
        <v>0</v>
      </c>
      <c r="L66" s="8" t="s">
        <v>319</v>
      </c>
      <c r="M66" s="21">
        <v>43102</v>
      </c>
      <c r="O66" s="8" t="s">
        <v>105</v>
      </c>
      <c r="P66" s="8" t="s">
        <v>8</v>
      </c>
      <c r="R66" s="8">
        <v>0</v>
      </c>
      <c r="S66" s="8" t="s">
        <v>2050</v>
      </c>
      <c r="T66" t="s">
        <v>320</v>
      </c>
      <c r="U66" s="8" t="s">
        <v>318</v>
      </c>
      <c r="V66" s="8" t="s">
        <v>320</v>
      </c>
      <c r="W66" s="8" t="s">
        <v>318</v>
      </c>
    </row>
    <row r="67" spans="1:23" x14ac:dyDescent="0.25">
      <c r="A67" s="8">
        <v>69</v>
      </c>
      <c r="B67" s="5" t="s">
        <v>107</v>
      </c>
      <c r="C67" s="5">
        <v>69</v>
      </c>
      <c r="D67" s="5">
        <v>1</v>
      </c>
      <c r="E67" s="26">
        <v>43238</v>
      </c>
      <c r="F67" s="5" t="s">
        <v>321</v>
      </c>
      <c r="G67" s="8" t="s">
        <v>224</v>
      </c>
      <c r="H67" s="8" t="s">
        <v>49</v>
      </c>
      <c r="I67" s="8">
        <v>0</v>
      </c>
      <c r="J67" s="8" t="s">
        <v>55</v>
      </c>
      <c r="K67" s="8">
        <v>0</v>
      </c>
      <c r="L67" s="8" t="s">
        <v>322</v>
      </c>
      <c r="M67" s="21">
        <v>43102</v>
      </c>
      <c r="O67" s="8" t="s">
        <v>105</v>
      </c>
      <c r="P67" s="8" t="s">
        <v>8</v>
      </c>
      <c r="R67" s="8">
        <v>0</v>
      </c>
      <c r="S67" s="8" t="s">
        <v>2051</v>
      </c>
      <c r="T67" t="s">
        <v>323</v>
      </c>
      <c r="U67" s="8" t="s">
        <v>321</v>
      </c>
      <c r="V67" s="8" t="s">
        <v>323</v>
      </c>
      <c r="W67" s="8" t="s">
        <v>321</v>
      </c>
    </row>
    <row r="68" spans="1:23" x14ac:dyDescent="0.25">
      <c r="A68" s="8">
        <v>70</v>
      </c>
      <c r="B68" s="5" t="s">
        <v>107</v>
      </c>
      <c r="C68" s="5">
        <v>70</v>
      </c>
      <c r="D68" s="5">
        <v>1</v>
      </c>
      <c r="E68" s="26">
        <v>43238</v>
      </c>
      <c r="F68" s="5" t="s">
        <v>324</v>
      </c>
      <c r="G68" s="8" t="s">
        <v>325</v>
      </c>
      <c r="H68" s="8" t="s">
        <v>49</v>
      </c>
      <c r="I68" s="8">
        <v>0</v>
      </c>
      <c r="J68" s="8" t="s">
        <v>55</v>
      </c>
      <c r="K68" s="8">
        <v>0</v>
      </c>
      <c r="L68" s="8" t="s">
        <v>326</v>
      </c>
      <c r="M68" s="21">
        <v>43102</v>
      </c>
      <c r="O68" s="8" t="s">
        <v>105</v>
      </c>
      <c r="P68" s="8" t="s">
        <v>8</v>
      </c>
      <c r="R68" s="8">
        <v>0</v>
      </c>
      <c r="S68" s="8" t="s">
        <v>2052</v>
      </c>
      <c r="T68" t="s">
        <v>327</v>
      </c>
      <c r="U68" s="8" t="s">
        <v>324</v>
      </c>
      <c r="V68" s="8" t="s">
        <v>327</v>
      </c>
      <c r="W68" s="8" t="s">
        <v>324</v>
      </c>
    </row>
    <row r="69" spans="1:23" x14ac:dyDescent="0.25">
      <c r="A69" s="8">
        <v>71</v>
      </c>
      <c r="B69" s="5" t="s">
        <v>107</v>
      </c>
      <c r="C69" s="5">
        <v>71</v>
      </c>
      <c r="D69" s="5">
        <v>1</v>
      </c>
      <c r="E69" s="26">
        <v>43238</v>
      </c>
      <c r="F69" s="5" t="s">
        <v>328</v>
      </c>
      <c r="G69" s="8" t="s">
        <v>293</v>
      </c>
      <c r="H69" s="8" t="s">
        <v>49</v>
      </c>
      <c r="I69" s="8">
        <v>0</v>
      </c>
      <c r="J69" s="8" t="s">
        <v>55</v>
      </c>
      <c r="K69" s="8">
        <v>0</v>
      </c>
      <c r="L69" s="8" t="s">
        <v>329</v>
      </c>
      <c r="M69" s="21">
        <v>43102</v>
      </c>
      <c r="O69" s="8" t="s">
        <v>105</v>
      </c>
      <c r="P69" s="8" t="s">
        <v>8</v>
      </c>
      <c r="R69" s="8">
        <v>0</v>
      </c>
      <c r="S69" s="8" t="s">
        <v>2053</v>
      </c>
      <c r="T69" t="s">
        <v>330</v>
      </c>
      <c r="U69" s="8" t="s">
        <v>328</v>
      </c>
      <c r="V69" s="8" t="s">
        <v>330</v>
      </c>
      <c r="W69" s="8" t="s">
        <v>328</v>
      </c>
    </row>
    <row r="70" spans="1:23" x14ac:dyDescent="0.25">
      <c r="A70" s="8">
        <v>72</v>
      </c>
      <c r="B70" s="5" t="s">
        <v>107</v>
      </c>
      <c r="C70" s="5">
        <v>72</v>
      </c>
      <c r="D70" s="5">
        <v>1</v>
      </c>
      <c r="E70" s="26">
        <v>43238</v>
      </c>
      <c r="F70" s="5" t="s">
        <v>331</v>
      </c>
      <c r="G70" s="8" t="s">
        <v>332</v>
      </c>
      <c r="H70" s="8" t="s">
        <v>49</v>
      </c>
      <c r="I70" s="8">
        <v>0</v>
      </c>
      <c r="J70" s="8" t="s">
        <v>55</v>
      </c>
      <c r="K70" s="8">
        <v>0</v>
      </c>
      <c r="L70" s="8" t="s">
        <v>333</v>
      </c>
      <c r="M70" s="21">
        <v>43102</v>
      </c>
      <c r="O70" s="8" t="s">
        <v>105</v>
      </c>
      <c r="P70" s="8" t="s">
        <v>8</v>
      </c>
      <c r="R70" s="8">
        <v>0</v>
      </c>
      <c r="S70" s="8" t="s">
        <v>2054</v>
      </c>
      <c r="T70" t="s">
        <v>334</v>
      </c>
      <c r="U70" s="8" t="s">
        <v>331</v>
      </c>
      <c r="V70" s="8" t="s">
        <v>334</v>
      </c>
      <c r="W70" s="8" t="s">
        <v>331</v>
      </c>
    </row>
    <row r="71" spans="1:23" x14ac:dyDescent="0.25">
      <c r="A71" s="8">
        <v>73</v>
      </c>
      <c r="B71" s="5" t="s">
        <v>107</v>
      </c>
      <c r="C71" s="5">
        <v>73</v>
      </c>
      <c r="D71" s="5">
        <v>1</v>
      </c>
      <c r="E71" s="26">
        <v>43238</v>
      </c>
      <c r="F71" s="5" t="s">
        <v>335</v>
      </c>
      <c r="G71" s="8" t="s">
        <v>332</v>
      </c>
      <c r="H71" s="8" t="s">
        <v>49</v>
      </c>
      <c r="I71" s="8">
        <v>0</v>
      </c>
      <c r="J71" s="8" t="s">
        <v>55</v>
      </c>
      <c r="K71" s="8">
        <v>0</v>
      </c>
      <c r="L71" s="8" t="s">
        <v>333</v>
      </c>
      <c r="M71" s="21">
        <v>43102</v>
      </c>
      <c r="O71" s="8" t="s">
        <v>105</v>
      </c>
      <c r="P71" s="8" t="s">
        <v>8</v>
      </c>
      <c r="R71" s="8">
        <v>0</v>
      </c>
      <c r="S71" s="8" t="s">
        <v>2055</v>
      </c>
      <c r="T71" t="s">
        <v>336</v>
      </c>
      <c r="U71" s="8" t="s">
        <v>335</v>
      </c>
      <c r="V71" s="8" t="s">
        <v>336</v>
      </c>
      <c r="W71" s="8" t="s">
        <v>335</v>
      </c>
    </row>
    <row r="72" spans="1:23" x14ac:dyDescent="0.25">
      <c r="A72" s="8">
        <v>74</v>
      </c>
      <c r="B72" s="5" t="s">
        <v>107</v>
      </c>
      <c r="C72" s="5">
        <v>74</v>
      </c>
      <c r="D72" s="5">
        <v>1</v>
      </c>
      <c r="E72" s="26">
        <v>43238</v>
      </c>
      <c r="F72" s="5" t="s">
        <v>126</v>
      </c>
      <c r="G72" s="8" t="s">
        <v>337</v>
      </c>
      <c r="H72" s="8" t="s">
        <v>49</v>
      </c>
      <c r="I72" s="8">
        <v>0</v>
      </c>
      <c r="J72" s="8" t="s">
        <v>55</v>
      </c>
      <c r="K72" s="8">
        <v>0</v>
      </c>
      <c r="L72" s="8" t="s">
        <v>338</v>
      </c>
      <c r="M72" s="21">
        <v>43102</v>
      </c>
      <c r="O72" s="8" t="s">
        <v>105</v>
      </c>
      <c r="P72" s="8" t="s">
        <v>8</v>
      </c>
      <c r="R72" s="8">
        <v>0</v>
      </c>
      <c r="S72" s="8" t="s">
        <v>2056</v>
      </c>
      <c r="T72" t="s">
        <v>339</v>
      </c>
      <c r="U72" s="8" t="s">
        <v>126</v>
      </c>
      <c r="V72" s="8" t="s">
        <v>339</v>
      </c>
      <c r="W72" s="8" t="s">
        <v>126</v>
      </c>
    </row>
    <row r="73" spans="1:23" x14ac:dyDescent="0.25">
      <c r="A73" s="8">
        <v>75</v>
      </c>
      <c r="B73" s="5" t="s">
        <v>107</v>
      </c>
      <c r="C73" s="5">
        <v>75</v>
      </c>
      <c r="D73" s="5">
        <v>1</v>
      </c>
      <c r="E73" s="26">
        <v>43238</v>
      </c>
      <c r="F73" s="5" t="s">
        <v>340</v>
      </c>
      <c r="G73" s="8" t="s">
        <v>341</v>
      </c>
      <c r="H73" s="8" t="s">
        <v>49</v>
      </c>
      <c r="I73" s="8">
        <v>0</v>
      </c>
      <c r="J73" s="8" t="s">
        <v>55</v>
      </c>
      <c r="K73" s="8">
        <v>0</v>
      </c>
      <c r="L73" s="8" t="s">
        <v>342</v>
      </c>
      <c r="M73" s="21">
        <v>43102</v>
      </c>
      <c r="O73" s="8" t="s">
        <v>105</v>
      </c>
      <c r="P73" s="8" t="s">
        <v>8</v>
      </c>
      <c r="R73" s="8">
        <v>0</v>
      </c>
      <c r="S73" s="8" t="s">
        <v>2057</v>
      </c>
      <c r="T73" t="s">
        <v>343</v>
      </c>
      <c r="U73" s="8" t="s">
        <v>340</v>
      </c>
      <c r="V73" s="8" t="s">
        <v>343</v>
      </c>
      <c r="W73" s="8" t="s">
        <v>340</v>
      </c>
    </row>
    <row r="74" spans="1:23" x14ac:dyDescent="0.25">
      <c r="A74" s="8">
        <v>76</v>
      </c>
      <c r="B74" s="5" t="s">
        <v>107</v>
      </c>
      <c r="C74" s="5">
        <v>76</v>
      </c>
      <c r="D74" s="5">
        <v>1</v>
      </c>
      <c r="E74" s="26">
        <v>43238</v>
      </c>
      <c r="F74" s="5" t="s">
        <v>344</v>
      </c>
      <c r="G74" s="8" t="s">
        <v>128</v>
      </c>
      <c r="H74" s="8" t="s">
        <v>49</v>
      </c>
      <c r="I74" s="8">
        <v>0</v>
      </c>
      <c r="J74" s="8" t="s">
        <v>55</v>
      </c>
      <c r="K74" s="8">
        <v>0</v>
      </c>
      <c r="L74" s="8" t="s">
        <v>345</v>
      </c>
      <c r="M74" s="21">
        <v>43102</v>
      </c>
      <c r="O74" s="8" t="s">
        <v>105</v>
      </c>
      <c r="P74" s="8" t="s">
        <v>8</v>
      </c>
      <c r="R74" s="8">
        <v>0</v>
      </c>
      <c r="S74" s="8" t="s">
        <v>2058</v>
      </c>
      <c r="T74" t="s">
        <v>346</v>
      </c>
      <c r="U74" s="8" t="s">
        <v>344</v>
      </c>
      <c r="V74" s="8" t="s">
        <v>346</v>
      </c>
      <c r="W74" s="8" t="s">
        <v>344</v>
      </c>
    </row>
    <row r="75" spans="1:23" x14ac:dyDescent="0.25">
      <c r="A75" s="8">
        <v>77</v>
      </c>
      <c r="B75" s="5" t="s">
        <v>107</v>
      </c>
      <c r="C75" s="5">
        <v>77</v>
      </c>
      <c r="D75" s="5">
        <v>1</v>
      </c>
      <c r="E75" s="26">
        <v>43238</v>
      </c>
      <c r="F75" s="5" t="s">
        <v>347</v>
      </c>
      <c r="G75" s="8" t="s">
        <v>348</v>
      </c>
      <c r="H75" s="8" t="s">
        <v>49</v>
      </c>
      <c r="I75" s="8">
        <v>0</v>
      </c>
      <c r="J75" s="8" t="s">
        <v>55</v>
      </c>
      <c r="K75" s="8">
        <v>0</v>
      </c>
      <c r="L75" s="8" t="s">
        <v>349</v>
      </c>
      <c r="M75" s="21">
        <v>43102</v>
      </c>
      <c r="O75" s="8" t="s">
        <v>105</v>
      </c>
      <c r="P75" s="8" t="s">
        <v>8</v>
      </c>
      <c r="R75" s="8">
        <v>0</v>
      </c>
      <c r="S75" s="8" t="s">
        <v>2059</v>
      </c>
      <c r="T75" s="8" t="s">
        <v>350</v>
      </c>
      <c r="U75" s="8" t="s">
        <v>347</v>
      </c>
      <c r="V75" s="8" t="s">
        <v>350</v>
      </c>
      <c r="W75" s="8" t="s">
        <v>347</v>
      </c>
    </row>
    <row r="76" spans="1:23" x14ac:dyDescent="0.25">
      <c r="A76" s="8">
        <v>78</v>
      </c>
      <c r="B76" s="5" t="s">
        <v>107</v>
      </c>
      <c r="C76" s="5">
        <v>78</v>
      </c>
      <c r="D76" s="5">
        <v>1</v>
      </c>
      <c r="E76" s="26">
        <v>43238</v>
      </c>
      <c r="F76" s="5" t="s">
        <v>351</v>
      </c>
      <c r="G76" s="8" t="s">
        <v>352</v>
      </c>
      <c r="H76" s="8" t="s">
        <v>49</v>
      </c>
      <c r="I76" s="8">
        <v>0</v>
      </c>
      <c r="J76" s="8" t="s">
        <v>55</v>
      </c>
      <c r="K76" s="8">
        <v>0</v>
      </c>
      <c r="L76" s="8" t="s">
        <v>353</v>
      </c>
      <c r="M76" s="21">
        <v>43102</v>
      </c>
      <c r="O76" s="8" t="s">
        <v>105</v>
      </c>
      <c r="P76" s="8" t="s">
        <v>8</v>
      </c>
      <c r="R76" s="8">
        <v>0</v>
      </c>
      <c r="S76" s="8" t="s">
        <v>2060</v>
      </c>
      <c r="T76" s="8" t="s">
        <v>354</v>
      </c>
      <c r="U76" s="8" t="s">
        <v>351</v>
      </c>
      <c r="V76" s="8" t="s">
        <v>354</v>
      </c>
      <c r="W76" s="8" t="s">
        <v>351</v>
      </c>
    </row>
    <row r="77" spans="1:23" x14ac:dyDescent="0.25">
      <c r="A77" s="8">
        <v>79</v>
      </c>
      <c r="B77" s="5" t="s">
        <v>107</v>
      </c>
      <c r="C77" s="5">
        <v>79</v>
      </c>
      <c r="D77" s="5">
        <v>1</v>
      </c>
      <c r="E77" s="26">
        <v>43238</v>
      </c>
      <c r="F77" s="5" t="s">
        <v>355</v>
      </c>
      <c r="G77" s="8" t="s">
        <v>352</v>
      </c>
      <c r="H77" s="8" t="s">
        <v>49</v>
      </c>
      <c r="I77" s="8">
        <v>0</v>
      </c>
      <c r="J77" s="8" t="s">
        <v>55</v>
      </c>
      <c r="K77" s="8">
        <v>0</v>
      </c>
      <c r="L77" s="8" t="s">
        <v>353</v>
      </c>
      <c r="M77" s="21">
        <v>43102</v>
      </c>
      <c r="O77" s="8" t="s">
        <v>105</v>
      </c>
      <c r="P77" s="8" t="s">
        <v>8</v>
      </c>
      <c r="R77" s="8">
        <v>0</v>
      </c>
      <c r="S77" s="8" t="s">
        <v>2061</v>
      </c>
      <c r="T77" s="8" t="s">
        <v>356</v>
      </c>
      <c r="U77" s="8" t="s">
        <v>355</v>
      </c>
      <c r="V77" s="8" t="s">
        <v>356</v>
      </c>
      <c r="W77" s="8" t="s">
        <v>355</v>
      </c>
    </row>
    <row r="78" spans="1:23" x14ac:dyDescent="0.25">
      <c r="A78" s="8">
        <v>80</v>
      </c>
      <c r="B78" s="5" t="s">
        <v>107</v>
      </c>
      <c r="C78" s="5">
        <v>80</v>
      </c>
      <c r="D78" s="5">
        <v>1</v>
      </c>
      <c r="E78" s="26">
        <v>43238</v>
      </c>
      <c r="F78" s="5" t="s">
        <v>357</v>
      </c>
      <c r="G78" s="8" t="s">
        <v>283</v>
      </c>
      <c r="H78" s="8" t="s">
        <v>49</v>
      </c>
      <c r="I78" s="8">
        <v>0</v>
      </c>
      <c r="J78" s="8" t="s">
        <v>55</v>
      </c>
      <c r="K78" s="8">
        <v>0</v>
      </c>
      <c r="L78" s="8" t="s">
        <v>358</v>
      </c>
      <c r="M78" s="21">
        <v>43102</v>
      </c>
      <c r="O78" s="8" t="s">
        <v>105</v>
      </c>
      <c r="P78" s="8" t="s">
        <v>8</v>
      </c>
      <c r="R78" s="8">
        <v>0</v>
      </c>
      <c r="S78" s="8" t="s">
        <v>2062</v>
      </c>
      <c r="T78" s="8" t="s">
        <v>359</v>
      </c>
      <c r="U78" s="8" t="s">
        <v>357</v>
      </c>
      <c r="V78" s="8" t="s">
        <v>359</v>
      </c>
      <c r="W78" s="8" t="s">
        <v>357</v>
      </c>
    </row>
    <row r="79" spans="1:23" x14ac:dyDescent="0.25">
      <c r="A79" s="8">
        <v>81</v>
      </c>
      <c r="B79" s="5" t="s">
        <v>107</v>
      </c>
      <c r="C79" s="5">
        <v>81</v>
      </c>
      <c r="D79" s="5">
        <v>1</v>
      </c>
      <c r="E79" s="26">
        <v>43238</v>
      </c>
      <c r="F79" s="5" t="s">
        <v>360</v>
      </c>
      <c r="G79" s="8" t="s">
        <v>348</v>
      </c>
      <c r="H79" s="8" t="s">
        <v>49</v>
      </c>
      <c r="I79" s="8">
        <v>0</v>
      </c>
      <c r="J79" s="8" t="s">
        <v>55</v>
      </c>
      <c r="K79" s="8">
        <v>0</v>
      </c>
      <c r="L79" s="8" t="s">
        <v>361</v>
      </c>
      <c r="M79" s="21">
        <v>43102</v>
      </c>
      <c r="O79" s="8" t="s">
        <v>105</v>
      </c>
      <c r="P79" s="8" t="s">
        <v>8</v>
      </c>
      <c r="R79" s="8">
        <v>0</v>
      </c>
      <c r="S79" s="8" t="s">
        <v>2063</v>
      </c>
      <c r="T79" s="8" t="s">
        <v>362</v>
      </c>
      <c r="U79" s="8" t="s">
        <v>360</v>
      </c>
      <c r="V79" s="8" t="s">
        <v>362</v>
      </c>
      <c r="W79" s="8" t="s">
        <v>360</v>
      </c>
    </row>
    <row r="80" spans="1:23" x14ac:dyDescent="0.25">
      <c r="A80" s="8">
        <v>82</v>
      </c>
      <c r="B80" s="5" t="s">
        <v>107</v>
      </c>
      <c r="C80" s="5">
        <v>82</v>
      </c>
      <c r="D80" s="5">
        <v>1</v>
      </c>
      <c r="E80" s="26">
        <v>43238</v>
      </c>
      <c r="F80" s="5" t="s">
        <v>363</v>
      </c>
      <c r="G80" s="8" t="s">
        <v>364</v>
      </c>
      <c r="H80" s="8" t="s">
        <v>49</v>
      </c>
      <c r="I80" s="8">
        <v>0</v>
      </c>
      <c r="J80" s="8" t="s">
        <v>55</v>
      </c>
      <c r="K80" s="8">
        <v>0</v>
      </c>
      <c r="L80" s="8" t="s">
        <v>365</v>
      </c>
      <c r="M80" s="21">
        <v>43102</v>
      </c>
      <c r="O80" s="8" t="s">
        <v>105</v>
      </c>
      <c r="P80" s="8" t="s">
        <v>8</v>
      </c>
      <c r="R80" s="8">
        <v>0</v>
      </c>
      <c r="S80" s="8" t="s">
        <v>2064</v>
      </c>
      <c r="T80" s="8" t="s">
        <v>366</v>
      </c>
      <c r="U80" s="8" t="s">
        <v>363</v>
      </c>
      <c r="V80" s="8" t="s">
        <v>366</v>
      </c>
      <c r="W80" s="8" t="s">
        <v>363</v>
      </c>
    </row>
    <row r="81" spans="1:23" x14ac:dyDescent="0.25">
      <c r="A81" s="8">
        <v>83</v>
      </c>
      <c r="B81" s="5" t="s">
        <v>107</v>
      </c>
      <c r="C81" s="5">
        <v>83</v>
      </c>
      <c r="D81" s="5">
        <v>1</v>
      </c>
      <c r="E81" s="26">
        <v>43238</v>
      </c>
      <c r="F81" s="5" t="s">
        <v>367</v>
      </c>
      <c r="G81" s="8" t="s">
        <v>364</v>
      </c>
      <c r="H81" s="8" t="s">
        <v>49</v>
      </c>
      <c r="I81" s="8">
        <v>0</v>
      </c>
      <c r="J81" s="8" t="s">
        <v>55</v>
      </c>
      <c r="K81" s="8">
        <v>0</v>
      </c>
      <c r="L81" s="8" t="s">
        <v>365</v>
      </c>
      <c r="M81" s="21">
        <v>43102</v>
      </c>
      <c r="O81" s="8" t="s">
        <v>105</v>
      </c>
      <c r="P81" s="8" t="s">
        <v>8</v>
      </c>
      <c r="R81" s="8">
        <v>0</v>
      </c>
      <c r="S81" s="8" t="s">
        <v>2065</v>
      </c>
      <c r="T81" s="8" t="s">
        <v>368</v>
      </c>
      <c r="U81" s="8" t="s">
        <v>367</v>
      </c>
      <c r="V81" s="8" t="s">
        <v>368</v>
      </c>
      <c r="W81" s="8" t="s">
        <v>367</v>
      </c>
    </row>
    <row r="82" spans="1:23" x14ac:dyDescent="0.25">
      <c r="A82" s="8">
        <v>84</v>
      </c>
      <c r="B82" s="5" t="s">
        <v>107</v>
      </c>
      <c r="C82" s="5">
        <v>84</v>
      </c>
      <c r="D82" s="5">
        <v>1</v>
      </c>
      <c r="E82" s="26">
        <v>43238</v>
      </c>
      <c r="F82" s="5" t="s">
        <v>1972</v>
      </c>
      <c r="G82" s="8" t="s">
        <v>199</v>
      </c>
      <c r="H82" s="8" t="s">
        <v>49</v>
      </c>
      <c r="I82" s="8">
        <v>0</v>
      </c>
      <c r="J82" s="8" t="s">
        <v>55</v>
      </c>
      <c r="K82" s="8">
        <v>0</v>
      </c>
      <c r="L82" s="8" t="s">
        <v>1980</v>
      </c>
      <c r="M82" s="21">
        <v>43102</v>
      </c>
      <c r="O82" s="8" t="s">
        <v>105</v>
      </c>
      <c r="P82" s="8" t="s">
        <v>8</v>
      </c>
      <c r="R82" s="8">
        <v>0</v>
      </c>
      <c r="S82" s="8" t="s">
        <v>2066</v>
      </c>
      <c r="T82" s="8" t="s">
        <v>369</v>
      </c>
      <c r="U82" s="8" t="s">
        <v>1972</v>
      </c>
      <c r="V82" s="8" t="s">
        <v>369</v>
      </c>
      <c r="W82" s="8" t="s">
        <v>1972</v>
      </c>
    </row>
    <row r="83" spans="1:23" x14ac:dyDescent="0.25">
      <c r="A83" s="8">
        <v>85</v>
      </c>
      <c r="B83" s="5" t="s">
        <v>107</v>
      </c>
      <c r="C83" s="5">
        <v>85</v>
      </c>
      <c r="D83" s="5">
        <v>1</v>
      </c>
      <c r="E83" s="26">
        <v>43238</v>
      </c>
      <c r="F83" s="5" t="s">
        <v>370</v>
      </c>
      <c r="G83" s="8" t="s">
        <v>302</v>
      </c>
      <c r="H83" s="8" t="s">
        <v>49</v>
      </c>
      <c r="I83" s="8">
        <v>0</v>
      </c>
      <c r="J83" s="8" t="s">
        <v>55</v>
      </c>
      <c r="K83" s="8">
        <v>0</v>
      </c>
      <c r="L83" s="8" t="s">
        <v>371</v>
      </c>
      <c r="M83" s="21">
        <v>43102</v>
      </c>
      <c r="O83" s="8" t="s">
        <v>105</v>
      </c>
      <c r="P83" s="8" t="s">
        <v>8</v>
      </c>
      <c r="R83" s="8">
        <v>0</v>
      </c>
      <c r="S83" s="8" t="s">
        <v>2067</v>
      </c>
      <c r="T83" s="8" t="s">
        <v>372</v>
      </c>
      <c r="U83" s="8" t="s">
        <v>370</v>
      </c>
      <c r="V83" s="8" t="s">
        <v>372</v>
      </c>
      <c r="W83" s="8" t="s">
        <v>370</v>
      </c>
    </row>
    <row r="84" spans="1:23" x14ac:dyDescent="0.25">
      <c r="A84" s="8">
        <v>86</v>
      </c>
      <c r="B84" s="5" t="s">
        <v>107</v>
      </c>
      <c r="C84" s="5">
        <v>86</v>
      </c>
      <c r="D84" s="5">
        <v>1</v>
      </c>
      <c r="E84" s="26">
        <v>43238</v>
      </c>
      <c r="F84" s="5" t="s">
        <v>373</v>
      </c>
      <c r="G84" s="8" t="s">
        <v>289</v>
      </c>
      <c r="H84" s="8" t="s">
        <v>49</v>
      </c>
      <c r="I84" s="8">
        <v>0</v>
      </c>
      <c r="J84" s="8" t="s">
        <v>55</v>
      </c>
      <c r="K84" s="8">
        <v>0</v>
      </c>
      <c r="L84" s="8" t="s">
        <v>374</v>
      </c>
      <c r="M84" s="21">
        <v>43102</v>
      </c>
      <c r="O84" s="8" t="s">
        <v>105</v>
      </c>
      <c r="P84" s="8" t="s">
        <v>8</v>
      </c>
      <c r="R84" s="8">
        <v>0</v>
      </c>
      <c r="S84" s="8" t="s">
        <v>2068</v>
      </c>
      <c r="T84" s="8" t="s">
        <v>375</v>
      </c>
      <c r="U84" s="8" t="s">
        <v>373</v>
      </c>
      <c r="V84" s="8" t="s">
        <v>375</v>
      </c>
      <c r="W84" s="8" t="s">
        <v>373</v>
      </c>
    </row>
    <row r="85" spans="1:23" x14ac:dyDescent="0.25">
      <c r="A85" s="8">
        <v>87</v>
      </c>
      <c r="B85" s="5" t="s">
        <v>107</v>
      </c>
      <c r="C85" s="5">
        <v>87</v>
      </c>
      <c r="D85" s="5">
        <v>1</v>
      </c>
      <c r="E85" s="26">
        <v>43238</v>
      </c>
      <c r="F85" s="5" t="s">
        <v>376</v>
      </c>
      <c r="G85" s="8" t="s">
        <v>289</v>
      </c>
      <c r="H85" s="8" t="s">
        <v>49</v>
      </c>
      <c r="I85" s="8">
        <v>0</v>
      </c>
      <c r="J85" s="8" t="s">
        <v>55</v>
      </c>
      <c r="K85" s="8">
        <v>0</v>
      </c>
      <c r="L85" s="8" t="s">
        <v>377</v>
      </c>
      <c r="M85" s="21">
        <v>43102</v>
      </c>
      <c r="O85" s="8" t="s">
        <v>105</v>
      </c>
      <c r="P85" s="8" t="s">
        <v>8</v>
      </c>
      <c r="R85" s="8">
        <v>0</v>
      </c>
      <c r="S85" s="8" t="s">
        <v>2069</v>
      </c>
      <c r="T85" s="8" t="s">
        <v>378</v>
      </c>
      <c r="U85" s="8" t="s">
        <v>376</v>
      </c>
      <c r="V85" s="8" t="s">
        <v>378</v>
      </c>
      <c r="W85" s="8" t="s">
        <v>376</v>
      </c>
    </row>
    <row r="86" spans="1:23" x14ac:dyDescent="0.25">
      <c r="A86" s="8">
        <v>88</v>
      </c>
      <c r="B86" s="5" t="s">
        <v>107</v>
      </c>
      <c r="C86" s="5">
        <v>88</v>
      </c>
      <c r="D86" s="5">
        <v>1</v>
      </c>
      <c r="E86" s="26">
        <v>43238</v>
      </c>
      <c r="F86" s="5" t="s">
        <v>379</v>
      </c>
      <c r="G86" s="8" t="s">
        <v>325</v>
      </c>
      <c r="H86" s="8" t="s">
        <v>49</v>
      </c>
      <c r="I86" s="8">
        <v>0</v>
      </c>
      <c r="J86" s="8" t="s">
        <v>55</v>
      </c>
      <c r="K86" s="8">
        <v>0</v>
      </c>
      <c r="L86" s="8" t="s">
        <v>380</v>
      </c>
      <c r="M86" s="21">
        <v>43102</v>
      </c>
      <c r="O86" s="8" t="s">
        <v>105</v>
      </c>
      <c r="P86" s="8" t="s">
        <v>8</v>
      </c>
      <c r="R86" s="8">
        <v>0</v>
      </c>
      <c r="S86" s="8" t="s">
        <v>2070</v>
      </c>
      <c r="T86" s="8" t="s">
        <v>381</v>
      </c>
      <c r="U86" s="8" t="s">
        <v>379</v>
      </c>
      <c r="V86" s="8" t="s">
        <v>381</v>
      </c>
      <c r="W86" s="8" t="s">
        <v>379</v>
      </c>
    </row>
    <row r="87" spans="1:23" x14ac:dyDescent="0.25">
      <c r="A87" s="8">
        <v>89</v>
      </c>
      <c r="B87" s="5" t="s">
        <v>107</v>
      </c>
      <c r="C87" s="5">
        <v>89</v>
      </c>
      <c r="D87" s="5">
        <v>1</v>
      </c>
      <c r="E87" s="26">
        <v>43238</v>
      </c>
      <c r="F87" s="5" t="s">
        <v>382</v>
      </c>
      <c r="G87" s="8" t="s">
        <v>312</v>
      </c>
      <c r="H87" s="8" t="s">
        <v>49</v>
      </c>
      <c r="I87" s="8">
        <v>0</v>
      </c>
      <c r="J87" s="8" t="s">
        <v>55</v>
      </c>
      <c r="K87" s="8">
        <v>0</v>
      </c>
      <c r="L87" s="8" t="s">
        <v>383</v>
      </c>
      <c r="M87" s="21">
        <v>43102</v>
      </c>
      <c r="O87" s="8" t="s">
        <v>105</v>
      </c>
      <c r="P87" s="8" t="s">
        <v>8</v>
      </c>
      <c r="R87" s="8">
        <v>0</v>
      </c>
      <c r="S87" s="8" t="s">
        <v>2071</v>
      </c>
      <c r="T87" s="8" t="s">
        <v>384</v>
      </c>
      <c r="U87" s="8" t="s">
        <v>382</v>
      </c>
      <c r="V87" s="8" t="s">
        <v>384</v>
      </c>
      <c r="W87" s="8" t="s">
        <v>382</v>
      </c>
    </row>
    <row r="88" spans="1:23" x14ac:dyDescent="0.25">
      <c r="A88" s="8">
        <v>90</v>
      </c>
      <c r="B88" s="5" t="s">
        <v>107</v>
      </c>
      <c r="C88" s="5">
        <v>90</v>
      </c>
      <c r="D88" s="5">
        <v>1</v>
      </c>
      <c r="E88" s="26">
        <v>43238</v>
      </c>
      <c r="F88" s="5" t="s">
        <v>2216</v>
      </c>
      <c r="G88" s="8" t="s">
        <v>128</v>
      </c>
      <c r="H88" s="8" t="s">
        <v>49</v>
      </c>
      <c r="I88" s="8">
        <v>0</v>
      </c>
      <c r="J88" s="8" t="s">
        <v>55</v>
      </c>
      <c r="K88" s="8">
        <v>0</v>
      </c>
      <c r="L88" s="8" t="s">
        <v>2217</v>
      </c>
      <c r="M88" s="21">
        <v>43102</v>
      </c>
      <c r="O88" s="8" t="s">
        <v>105</v>
      </c>
      <c r="P88" s="8" t="s">
        <v>8</v>
      </c>
      <c r="R88" s="8">
        <v>0</v>
      </c>
      <c r="S88" s="8" t="s">
        <v>2218</v>
      </c>
      <c r="T88" s="8" t="s">
        <v>385</v>
      </c>
      <c r="U88" s="8" t="s">
        <v>2216</v>
      </c>
      <c r="V88" s="8" t="s">
        <v>385</v>
      </c>
      <c r="W88" s="8" t="s">
        <v>2216</v>
      </c>
    </row>
    <row r="89" spans="1:23" x14ac:dyDescent="0.25">
      <c r="A89" s="8">
        <v>91</v>
      </c>
      <c r="B89" s="5" t="s">
        <v>107</v>
      </c>
      <c r="C89" s="5">
        <v>91</v>
      </c>
      <c r="D89" s="5">
        <v>1</v>
      </c>
      <c r="E89" s="26">
        <v>43238</v>
      </c>
      <c r="F89" s="5" t="s">
        <v>386</v>
      </c>
      <c r="G89" s="8" t="s">
        <v>128</v>
      </c>
      <c r="H89" s="8" t="s">
        <v>49</v>
      </c>
      <c r="I89" s="8">
        <v>0</v>
      </c>
      <c r="J89" s="8" t="s">
        <v>55</v>
      </c>
      <c r="K89" s="8">
        <v>0</v>
      </c>
      <c r="L89" s="8" t="s">
        <v>387</v>
      </c>
      <c r="M89" s="21">
        <v>43102</v>
      </c>
      <c r="O89" s="8" t="s">
        <v>105</v>
      </c>
      <c r="P89" s="8" t="s">
        <v>8</v>
      </c>
      <c r="R89" s="8">
        <v>0</v>
      </c>
      <c r="S89" s="8" t="s">
        <v>2072</v>
      </c>
      <c r="T89" s="8" t="s">
        <v>388</v>
      </c>
      <c r="U89" s="8" t="s">
        <v>386</v>
      </c>
      <c r="V89" s="8" t="s">
        <v>388</v>
      </c>
      <c r="W89" s="8" t="s">
        <v>386</v>
      </c>
    </row>
    <row r="90" spans="1:23" x14ac:dyDescent="0.25">
      <c r="A90" s="8">
        <v>92</v>
      </c>
      <c r="B90" s="5" t="s">
        <v>107</v>
      </c>
      <c r="C90" s="5">
        <v>92</v>
      </c>
      <c r="D90" s="5">
        <v>1</v>
      </c>
      <c r="E90" s="26">
        <v>43238</v>
      </c>
      <c r="F90" s="5" t="s">
        <v>389</v>
      </c>
      <c r="G90" s="8" t="s">
        <v>128</v>
      </c>
      <c r="H90" s="8" t="s">
        <v>49</v>
      </c>
      <c r="I90" s="8">
        <v>0</v>
      </c>
      <c r="J90" s="8" t="s">
        <v>55</v>
      </c>
      <c r="K90" s="8">
        <v>0</v>
      </c>
      <c r="L90" s="8" t="s">
        <v>387</v>
      </c>
      <c r="M90" s="21">
        <v>43102</v>
      </c>
      <c r="O90" s="8" t="s">
        <v>105</v>
      </c>
      <c r="P90" s="8" t="s">
        <v>8</v>
      </c>
      <c r="R90" s="8">
        <v>0</v>
      </c>
      <c r="S90" s="8" t="s">
        <v>2073</v>
      </c>
      <c r="T90" s="8" t="s">
        <v>390</v>
      </c>
      <c r="U90" s="8" t="s">
        <v>389</v>
      </c>
      <c r="V90" s="8" t="s">
        <v>390</v>
      </c>
      <c r="W90" s="8" t="s">
        <v>389</v>
      </c>
    </row>
    <row r="91" spans="1:23" x14ac:dyDescent="0.25">
      <c r="A91" s="8">
        <v>93</v>
      </c>
      <c r="B91" s="5" t="s">
        <v>107</v>
      </c>
      <c r="C91" s="5">
        <v>93</v>
      </c>
      <c r="D91" s="5">
        <v>1</v>
      </c>
      <c r="E91" s="26">
        <v>43238</v>
      </c>
      <c r="F91" s="5" t="s">
        <v>391</v>
      </c>
      <c r="G91" s="8" t="s">
        <v>392</v>
      </c>
      <c r="H91" s="8" t="s">
        <v>49</v>
      </c>
      <c r="I91" s="8">
        <v>0</v>
      </c>
      <c r="J91" s="8" t="s">
        <v>55</v>
      </c>
      <c r="K91" s="8">
        <v>0</v>
      </c>
      <c r="L91" s="8" t="s">
        <v>393</v>
      </c>
      <c r="M91" s="21">
        <v>43102</v>
      </c>
      <c r="O91" s="8" t="s">
        <v>105</v>
      </c>
      <c r="P91" s="8" t="s">
        <v>8</v>
      </c>
      <c r="R91" s="8">
        <v>0</v>
      </c>
      <c r="S91" s="8" t="s">
        <v>2074</v>
      </c>
      <c r="T91" s="8" t="s">
        <v>394</v>
      </c>
      <c r="U91" s="8" t="s">
        <v>391</v>
      </c>
      <c r="V91" s="8" t="s">
        <v>394</v>
      </c>
      <c r="W91" s="8" t="s">
        <v>391</v>
      </c>
    </row>
    <row r="92" spans="1:23" x14ac:dyDescent="0.25">
      <c r="A92" s="8">
        <v>94</v>
      </c>
      <c r="B92" s="5" t="s">
        <v>107</v>
      </c>
      <c r="C92" s="5">
        <v>94</v>
      </c>
      <c r="D92" s="5">
        <v>1</v>
      </c>
      <c r="E92" s="26">
        <v>43238</v>
      </c>
      <c r="F92" s="5" t="s">
        <v>395</v>
      </c>
      <c r="G92" s="8" t="s">
        <v>392</v>
      </c>
      <c r="H92" s="8" t="s">
        <v>49</v>
      </c>
      <c r="I92" s="8">
        <v>0</v>
      </c>
      <c r="J92" s="8" t="s">
        <v>55</v>
      </c>
      <c r="K92" s="8">
        <v>0</v>
      </c>
      <c r="L92" s="8" t="s">
        <v>393</v>
      </c>
      <c r="M92" s="21">
        <v>43102</v>
      </c>
      <c r="O92" s="8" t="s">
        <v>105</v>
      </c>
      <c r="P92" s="8" t="s">
        <v>8</v>
      </c>
      <c r="R92" s="8">
        <v>0</v>
      </c>
      <c r="S92" s="8" t="s">
        <v>2075</v>
      </c>
      <c r="T92" s="8" t="s">
        <v>396</v>
      </c>
      <c r="U92" s="8" t="s">
        <v>395</v>
      </c>
      <c r="V92" s="8" t="s">
        <v>396</v>
      </c>
      <c r="W92" s="8" t="s">
        <v>395</v>
      </c>
    </row>
    <row r="93" spans="1:23" x14ac:dyDescent="0.25">
      <c r="A93" s="8">
        <v>95</v>
      </c>
      <c r="B93" s="5" t="s">
        <v>107</v>
      </c>
      <c r="C93" s="5">
        <v>95</v>
      </c>
      <c r="D93" s="5">
        <v>1</v>
      </c>
      <c r="E93" s="26">
        <v>43238</v>
      </c>
      <c r="F93" s="5" t="s">
        <v>397</v>
      </c>
      <c r="G93" s="8" t="s">
        <v>242</v>
      </c>
      <c r="H93" s="8" t="s">
        <v>49</v>
      </c>
      <c r="I93" s="8">
        <v>0</v>
      </c>
      <c r="J93" s="8" t="s">
        <v>55</v>
      </c>
      <c r="K93" s="8">
        <v>0</v>
      </c>
      <c r="L93" s="8" t="s">
        <v>398</v>
      </c>
      <c r="M93" s="21">
        <v>43102</v>
      </c>
      <c r="O93" s="8" t="s">
        <v>105</v>
      </c>
      <c r="P93" s="8" t="s">
        <v>8</v>
      </c>
      <c r="R93" s="8">
        <v>0</v>
      </c>
      <c r="S93" s="8" t="s">
        <v>2076</v>
      </c>
      <c r="T93" s="8" t="s">
        <v>399</v>
      </c>
      <c r="U93" s="8" t="s">
        <v>397</v>
      </c>
      <c r="V93" s="8" t="s">
        <v>399</v>
      </c>
      <c r="W93" s="8" t="s">
        <v>397</v>
      </c>
    </row>
    <row r="94" spans="1:23" x14ac:dyDescent="0.25">
      <c r="A94" s="8">
        <v>96</v>
      </c>
      <c r="B94" s="5" t="s">
        <v>107</v>
      </c>
      <c r="C94" s="5">
        <v>96</v>
      </c>
      <c r="D94" s="5">
        <v>1</v>
      </c>
      <c r="E94" s="26">
        <v>43238</v>
      </c>
      <c r="F94" s="5" t="s">
        <v>400</v>
      </c>
      <c r="G94" s="8" t="s">
        <v>224</v>
      </c>
      <c r="H94" s="8" t="s">
        <v>49</v>
      </c>
      <c r="I94" s="8">
        <v>0</v>
      </c>
      <c r="J94" s="8" t="s">
        <v>55</v>
      </c>
      <c r="K94" s="8">
        <v>0</v>
      </c>
      <c r="L94" s="8" t="s">
        <v>401</v>
      </c>
      <c r="M94" s="21">
        <v>43102</v>
      </c>
      <c r="O94" s="8" t="s">
        <v>105</v>
      </c>
      <c r="P94" s="8" t="s">
        <v>8</v>
      </c>
      <c r="R94" s="8">
        <v>0</v>
      </c>
      <c r="S94" s="8" t="s">
        <v>2077</v>
      </c>
      <c r="T94" s="8" t="s">
        <v>402</v>
      </c>
      <c r="U94" s="8" t="s">
        <v>400</v>
      </c>
      <c r="V94" s="8" t="s">
        <v>402</v>
      </c>
      <c r="W94" s="8" t="s">
        <v>400</v>
      </c>
    </row>
    <row r="95" spans="1:23" x14ac:dyDescent="0.25">
      <c r="A95" s="8">
        <v>97</v>
      </c>
      <c r="B95" s="5" t="s">
        <v>107</v>
      </c>
      <c r="C95" s="5">
        <v>97</v>
      </c>
      <c r="D95" s="5">
        <v>1</v>
      </c>
      <c r="E95" s="26">
        <v>43238</v>
      </c>
      <c r="F95" s="5" t="s">
        <v>403</v>
      </c>
      <c r="G95" s="8" t="s">
        <v>199</v>
      </c>
      <c r="H95" s="8" t="s">
        <v>49</v>
      </c>
      <c r="I95" s="8">
        <v>0</v>
      </c>
      <c r="J95" s="8" t="s">
        <v>55</v>
      </c>
      <c r="K95" s="8">
        <v>0</v>
      </c>
      <c r="L95" s="8" t="s">
        <v>404</v>
      </c>
      <c r="M95" s="21">
        <v>43102</v>
      </c>
      <c r="O95" s="8" t="s">
        <v>105</v>
      </c>
      <c r="P95" s="8" t="s">
        <v>8</v>
      </c>
      <c r="R95" s="8">
        <v>0</v>
      </c>
      <c r="S95" s="8" t="s">
        <v>2078</v>
      </c>
      <c r="T95" s="8" t="s">
        <v>405</v>
      </c>
      <c r="U95" s="8" t="s">
        <v>403</v>
      </c>
      <c r="V95" s="8" t="s">
        <v>405</v>
      </c>
      <c r="W95" s="8" t="s">
        <v>403</v>
      </c>
    </row>
    <row r="96" spans="1:23" x14ac:dyDescent="0.25">
      <c r="A96" s="8">
        <v>98</v>
      </c>
      <c r="B96" s="5" t="s">
        <v>107</v>
      </c>
      <c r="C96" s="5">
        <v>98</v>
      </c>
      <c r="D96" s="5">
        <v>1</v>
      </c>
      <c r="E96" s="26">
        <v>43238</v>
      </c>
      <c r="F96" s="5" t="s">
        <v>406</v>
      </c>
      <c r="G96" s="8" t="s">
        <v>137</v>
      </c>
      <c r="H96" s="8" t="s">
        <v>49</v>
      </c>
      <c r="I96" s="8">
        <v>0</v>
      </c>
      <c r="J96" s="8" t="s">
        <v>55</v>
      </c>
      <c r="K96" s="8">
        <v>0</v>
      </c>
      <c r="L96" s="8" t="s">
        <v>407</v>
      </c>
      <c r="M96" s="21">
        <v>43102</v>
      </c>
      <c r="O96" s="8" t="s">
        <v>105</v>
      </c>
      <c r="P96" s="8" t="s">
        <v>8</v>
      </c>
      <c r="R96" s="8">
        <v>0</v>
      </c>
      <c r="S96" s="8" t="s">
        <v>2079</v>
      </c>
      <c r="T96" s="8" t="s">
        <v>408</v>
      </c>
      <c r="U96" s="8" t="s">
        <v>406</v>
      </c>
      <c r="V96" s="8" t="s">
        <v>408</v>
      </c>
      <c r="W96" s="8" t="s">
        <v>406</v>
      </c>
    </row>
    <row r="97" spans="1:23" x14ac:dyDescent="0.25">
      <c r="A97" s="8">
        <v>99</v>
      </c>
      <c r="B97" s="5" t="s">
        <v>107</v>
      </c>
      <c r="C97" s="5">
        <v>99</v>
      </c>
      <c r="D97" s="5">
        <v>1</v>
      </c>
      <c r="E97" s="26">
        <v>43238</v>
      </c>
      <c r="F97" s="5" t="s">
        <v>409</v>
      </c>
      <c r="G97" s="8" t="s">
        <v>199</v>
      </c>
      <c r="H97" s="8" t="s">
        <v>49</v>
      </c>
      <c r="I97" s="8">
        <v>0</v>
      </c>
      <c r="J97" s="8" t="s">
        <v>55</v>
      </c>
      <c r="K97" s="8">
        <v>0</v>
      </c>
      <c r="L97" s="8" t="s">
        <v>410</v>
      </c>
      <c r="M97" s="21">
        <v>43102</v>
      </c>
      <c r="O97" s="8" t="s">
        <v>105</v>
      </c>
      <c r="P97" s="8" t="s">
        <v>8</v>
      </c>
      <c r="R97" s="8">
        <v>0</v>
      </c>
      <c r="S97" s="8" t="s">
        <v>2080</v>
      </c>
      <c r="T97" s="8" t="s">
        <v>411</v>
      </c>
      <c r="U97" s="8" t="s">
        <v>409</v>
      </c>
      <c r="V97" s="8" t="s">
        <v>411</v>
      </c>
      <c r="W97" s="8" t="s">
        <v>409</v>
      </c>
    </row>
    <row r="98" spans="1:23" x14ac:dyDescent="0.25">
      <c r="A98" s="8">
        <v>100</v>
      </c>
      <c r="B98" s="5" t="s">
        <v>107</v>
      </c>
      <c r="C98" s="5">
        <v>100</v>
      </c>
      <c r="D98" s="5">
        <v>1</v>
      </c>
      <c r="E98" s="26">
        <v>43238</v>
      </c>
      <c r="F98" s="5" t="s">
        <v>412</v>
      </c>
      <c r="G98" s="8" t="s">
        <v>146</v>
      </c>
      <c r="H98" s="8" t="s">
        <v>49</v>
      </c>
      <c r="I98" s="8">
        <v>0</v>
      </c>
      <c r="J98" s="8" t="s">
        <v>55</v>
      </c>
      <c r="K98" s="8">
        <v>0</v>
      </c>
      <c r="L98" s="8" t="s">
        <v>413</v>
      </c>
      <c r="M98" s="21">
        <v>43102</v>
      </c>
      <c r="O98" s="8" t="s">
        <v>105</v>
      </c>
      <c r="P98" s="8" t="s">
        <v>8</v>
      </c>
      <c r="R98" s="8">
        <v>0</v>
      </c>
      <c r="S98" s="8" t="s">
        <v>2081</v>
      </c>
      <c r="T98" s="8" t="s">
        <v>414</v>
      </c>
      <c r="U98" s="8" t="s">
        <v>412</v>
      </c>
      <c r="V98" s="8" t="s">
        <v>414</v>
      </c>
      <c r="W98" s="8" t="s">
        <v>412</v>
      </c>
    </row>
    <row r="99" spans="1:23" x14ac:dyDescent="0.25">
      <c r="A99" s="8">
        <v>101</v>
      </c>
      <c r="B99" s="5" t="s">
        <v>107</v>
      </c>
      <c r="C99" s="5">
        <v>101</v>
      </c>
      <c r="D99" s="5">
        <v>1</v>
      </c>
      <c r="E99" s="26">
        <v>43238</v>
      </c>
      <c r="F99" s="5" t="s">
        <v>415</v>
      </c>
      <c r="G99" s="8" t="s">
        <v>146</v>
      </c>
      <c r="H99" s="8" t="s">
        <v>49</v>
      </c>
      <c r="I99" s="8">
        <v>0</v>
      </c>
      <c r="J99" s="8" t="s">
        <v>55</v>
      </c>
      <c r="K99" s="8">
        <v>0</v>
      </c>
      <c r="L99" s="8" t="s">
        <v>416</v>
      </c>
      <c r="M99" s="21">
        <v>43102</v>
      </c>
      <c r="O99" s="8" t="s">
        <v>105</v>
      </c>
      <c r="P99" s="8" t="s">
        <v>8</v>
      </c>
      <c r="R99" s="8">
        <v>0</v>
      </c>
      <c r="S99" s="8" t="s">
        <v>2082</v>
      </c>
      <c r="T99" s="8" t="s">
        <v>417</v>
      </c>
      <c r="U99" s="8" t="s">
        <v>415</v>
      </c>
      <c r="V99" s="8" t="s">
        <v>417</v>
      </c>
      <c r="W99" s="8" t="s">
        <v>415</v>
      </c>
    </row>
    <row r="100" spans="1:23" x14ac:dyDescent="0.25">
      <c r="A100" s="8">
        <v>102</v>
      </c>
      <c r="B100" s="5" t="s">
        <v>107</v>
      </c>
      <c r="C100" s="5">
        <v>102</v>
      </c>
      <c r="D100" s="5">
        <v>1</v>
      </c>
      <c r="E100" s="26">
        <v>43238</v>
      </c>
      <c r="F100" s="5" t="s">
        <v>418</v>
      </c>
      <c r="G100" s="8" t="s">
        <v>224</v>
      </c>
      <c r="H100" s="8" t="s">
        <v>49</v>
      </c>
      <c r="I100" s="8">
        <v>0</v>
      </c>
      <c r="J100" s="8" t="s">
        <v>55</v>
      </c>
      <c r="K100" s="8">
        <v>0</v>
      </c>
      <c r="L100" s="8" t="s">
        <v>419</v>
      </c>
      <c r="M100" s="21">
        <v>43102</v>
      </c>
      <c r="O100" s="8" t="s">
        <v>105</v>
      </c>
      <c r="P100" s="8" t="s">
        <v>8</v>
      </c>
      <c r="R100" s="8">
        <v>0</v>
      </c>
      <c r="S100" s="8" t="s">
        <v>2083</v>
      </c>
      <c r="T100" s="8" t="s">
        <v>420</v>
      </c>
      <c r="U100" s="8" t="s">
        <v>418</v>
      </c>
      <c r="V100" s="8" t="s">
        <v>420</v>
      </c>
      <c r="W100" s="8" t="s">
        <v>418</v>
      </c>
    </row>
    <row r="101" spans="1:23" x14ac:dyDescent="0.25">
      <c r="A101" s="8">
        <v>103</v>
      </c>
      <c r="B101" s="5" t="s">
        <v>107</v>
      </c>
      <c r="C101" s="5">
        <v>103</v>
      </c>
      <c r="D101" s="5">
        <v>1</v>
      </c>
      <c r="E101" s="26">
        <v>43238</v>
      </c>
      <c r="F101" s="5" t="s">
        <v>421</v>
      </c>
      <c r="G101" s="8" t="s">
        <v>422</v>
      </c>
      <c r="H101" s="8" t="s">
        <v>49</v>
      </c>
      <c r="I101" s="8">
        <v>0</v>
      </c>
      <c r="J101" s="8" t="s">
        <v>55</v>
      </c>
      <c r="K101" s="8">
        <v>0</v>
      </c>
      <c r="L101" s="8" t="s">
        <v>423</v>
      </c>
      <c r="M101" s="21">
        <v>43102</v>
      </c>
      <c r="O101" s="8" t="s">
        <v>105</v>
      </c>
      <c r="P101" s="8" t="s">
        <v>8</v>
      </c>
      <c r="R101" s="8">
        <v>0</v>
      </c>
      <c r="S101" s="8" t="s">
        <v>2084</v>
      </c>
      <c r="T101" s="8" t="s">
        <v>424</v>
      </c>
      <c r="U101" s="8" t="s">
        <v>421</v>
      </c>
      <c r="V101" s="8" t="s">
        <v>424</v>
      </c>
      <c r="W101" s="8" t="s">
        <v>421</v>
      </c>
    </row>
    <row r="102" spans="1:23" x14ac:dyDescent="0.25">
      <c r="A102" s="8">
        <v>104</v>
      </c>
      <c r="B102" s="5" t="s">
        <v>107</v>
      </c>
      <c r="C102" s="5">
        <v>104</v>
      </c>
      <c r="D102" s="5">
        <v>1</v>
      </c>
      <c r="E102" s="26">
        <v>43238</v>
      </c>
      <c r="F102" s="5" t="s">
        <v>425</v>
      </c>
      <c r="G102" s="8" t="s">
        <v>422</v>
      </c>
      <c r="H102" s="8" t="s">
        <v>49</v>
      </c>
      <c r="I102" s="8">
        <v>0</v>
      </c>
      <c r="J102" s="8" t="s">
        <v>55</v>
      </c>
      <c r="K102" s="8">
        <v>0</v>
      </c>
      <c r="L102" s="8" t="s">
        <v>423</v>
      </c>
      <c r="M102" s="21">
        <v>43102</v>
      </c>
      <c r="O102" s="8" t="s">
        <v>105</v>
      </c>
      <c r="P102" s="8" t="s">
        <v>8</v>
      </c>
      <c r="R102" s="8">
        <v>0</v>
      </c>
      <c r="S102" s="8" t="s">
        <v>2085</v>
      </c>
      <c r="T102" s="8" t="s">
        <v>426</v>
      </c>
      <c r="U102" s="8" t="s">
        <v>425</v>
      </c>
      <c r="V102" s="8" t="s">
        <v>426</v>
      </c>
      <c r="W102" s="8" t="s">
        <v>425</v>
      </c>
    </row>
    <row r="103" spans="1:23" x14ac:dyDescent="0.25">
      <c r="A103" s="8">
        <v>105</v>
      </c>
      <c r="B103" s="5" t="s">
        <v>107</v>
      </c>
      <c r="C103" s="5">
        <v>105</v>
      </c>
      <c r="D103" s="5">
        <v>1</v>
      </c>
      <c r="E103" s="26">
        <v>43238</v>
      </c>
      <c r="F103" s="5" t="s">
        <v>427</v>
      </c>
      <c r="G103" s="8" t="s">
        <v>199</v>
      </c>
      <c r="H103" s="8" t="s">
        <v>49</v>
      </c>
      <c r="I103" s="8">
        <v>0</v>
      </c>
      <c r="J103" s="8" t="s">
        <v>55</v>
      </c>
      <c r="K103" s="8">
        <v>0</v>
      </c>
      <c r="L103" s="8" t="s">
        <v>428</v>
      </c>
      <c r="M103" s="21">
        <v>43102</v>
      </c>
      <c r="O103" s="8" t="s">
        <v>105</v>
      </c>
      <c r="P103" s="8" t="s">
        <v>8</v>
      </c>
      <c r="R103" s="8">
        <v>0</v>
      </c>
      <c r="S103" s="8" t="s">
        <v>2086</v>
      </c>
      <c r="T103" s="8" t="s">
        <v>429</v>
      </c>
      <c r="U103" s="8" t="s">
        <v>427</v>
      </c>
      <c r="V103" s="8" t="s">
        <v>429</v>
      </c>
      <c r="W103" s="8" t="s">
        <v>427</v>
      </c>
    </row>
    <row r="104" spans="1:23" x14ac:dyDescent="0.25">
      <c r="A104" s="8">
        <v>106</v>
      </c>
      <c r="B104" s="5" t="s">
        <v>107</v>
      </c>
      <c r="C104" s="5">
        <v>106</v>
      </c>
      <c r="D104" s="5">
        <v>1</v>
      </c>
      <c r="E104" s="26">
        <v>43238</v>
      </c>
      <c r="F104" s="5" t="s">
        <v>430</v>
      </c>
      <c r="G104" s="8" t="s">
        <v>199</v>
      </c>
      <c r="H104" s="8" t="s">
        <v>49</v>
      </c>
      <c r="I104" s="8">
        <v>0</v>
      </c>
      <c r="J104" s="8" t="s">
        <v>55</v>
      </c>
      <c r="K104" s="8">
        <v>0</v>
      </c>
      <c r="L104" s="8" t="s">
        <v>428</v>
      </c>
      <c r="M104" s="21">
        <v>43102</v>
      </c>
      <c r="O104" s="8" t="s">
        <v>105</v>
      </c>
      <c r="P104" s="8" t="s">
        <v>8</v>
      </c>
      <c r="R104" s="8">
        <v>0</v>
      </c>
      <c r="S104" s="8" t="s">
        <v>2087</v>
      </c>
      <c r="T104" s="8" t="s">
        <v>431</v>
      </c>
      <c r="U104" s="8" t="s">
        <v>430</v>
      </c>
      <c r="V104" s="8" t="s">
        <v>431</v>
      </c>
      <c r="W104" s="8" t="s">
        <v>430</v>
      </c>
    </row>
    <row r="105" spans="1:23" x14ac:dyDescent="0.25">
      <c r="A105" s="8">
        <v>107</v>
      </c>
      <c r="B105" s="5" t="s">
        <v>107</v>
      </c>
      <c r="C105" s="5">
        <v>107</v>
      </c>
      <c r="D105" s="5">
        <v>1</v>
      </c>
      <c r="E105" s="26">
        <v>43238</v>
      </c>
      <c r="F105" s="5" t="s">
        <v>432</v>
      </c>
      <c r="G105" s="8" t="s">
        <v>199</v>
      </c>
      <c r="H105" s="8" t="s">
        <v>49</v>
      </c>
      <c r="I105" s="8">
        <v>0</v>
      </c>
      <c r="J105" s="8" t="s">
        <v>55</v>
      </c>
      <c r="K105" s="8">
        <v>0</v>
      </c>
      <c r="L105" s="8" t="s">
        <v>428</v>
      </c>
      <c r="M105" s="21">
        <v>43102</v>
      </c>
      <c r="O105" s="8" t="s">
        <v>105</v>
      </c>
      <c r="P105" s="8" t="s">
        <v>8</v>
      </c>
      <c r="R105" s="8">
        <v>0</v>
      </c>
      <c r="S105" s="8" t="s">
        <v>2088</v>
      </c>
      <c r="T105" s="8" t="s">
        <v>433</v>
      </c>
      <c r="U105" s="8" t="s">
        <v>432</v>
      </c>
      <c r="V105" s="8" t="s">
        <v>433</v>
      </c>
      <c r="W105" s="8" t="s">
        <v>432</v>
      </c>
    </row>
    <row r="106" spans="1:23" x14ac:dyDescent="0.25">
      <c r="A106" s="8">
        <v>108</v>
      </c>
      <c r="B106" s="5" t="s">
        <v>107</v>
      </c>
      <c r="C106" s="5">
        <v>108</v>
      </c>
      <c r="D106" s="5">
        <v>1</v>
      </c>
      <c r="E106" s="26">
        <v>43238</v>
      </c>
      <c r="F106" s="5" t="s">
        <v>434</v>
      </c>
      <c r="G106" s="8" t="s">
        <v>199</v>
      </c>
      <c r="H106" s="8" t="s">
        <v>49</v>
      </c>
      <c r="I106" s="8">
        <v>0</v>
      </c>
      <c r="J106" s="8" t="s">
        <v>55</v>
      </c>
      <c r="K106" s="8">
        <v>0</v>
      </c>
      <c r="L106" s="8" t="s">
        <v>435</v>
      </c>
      <c r="M106" s="21">
        <v>43102</v>
      </c>
      <c r="O106" s="8" t="s">
        <v>105</v>
      </c>
      <c r="P106" s="8" t="s">
        <v>8</v>
      </c>
      <c r="R106" s="8">
        <v>0</v>
      </c>
      <c r="S106" s="8" t="s">
        <v>2089</v>
      </c>
      <c r="T106" s="8" t="s">
        <v>436</v>
      </c>
      <c r="U106" s="8" t="s">
        <v>434</v>
      </c>
      <c r="V106" s="8" t="s">
        <v>436</v>
      </c>
      <c r="W106" s="8" t="s">
        <v>434</v>
      </c>
    </row>
    <row r="107" spans="1:23" x14ac:dyDescent="0.25">
      <c r="A107" s="8">
        <v>109</v>
      </c>
      <c r="B107" s="5" t="s">
        <v>107</v>
      </c>
      <c r="C107" s="5">
        <v>109</v>
      </c>
      <c r="D107" s="5">
        <v>1</v>
      </c>
      <c r="E107" s="26">
        <v>43238</v>
      </c>
      <c r="F107" s="5" t="s">
        <v>437</v>
      </c>
      <c r="G107" s="8" t="s">
        <v>348</v>
      </c>
      <c r="H107" s="8" t="s">
        <v>49</v>
      </c>
      <c r="I107" s="8">
        <v>0</v>
      </c>
      <c r="J107" s="8" t="s">
        <v>55</v>
      </c>
      <c r="K107" s="8">
        <v>0</v>
      </c>
      <c r="L107" s="8" t="s">
        <v>438</v>
      </c>
      <c r="M107" s="21">
        <v>43102</v>
      </c>
      <c r="O107" s="8" t="s">
        <v>105</v>
      </c>
      <c r="P107" s="8" t="s">
        <v>8</v>
      </c>
      <c r="R107" s="8">
        <v>0</v>
      </c>
      <c r="S107" s="8" t="s">
        <v>2090</v>
      </c>
      <c r="T107" s="8" t="s">
        <v>439</v>
      </c>
      <c r="U107" s="8" t="s">
        <v>437</v>
      </c>
      <c r="V107" s="8" t="s">
        <v>439</v>
      </c>
      <c r="W107" s="8" t="s">
        <v>437</v>
      </c>
    </row>
    <row r="108" spans="1:23" x14ac:dyDescent="0.25">
      <c r="A108" s="8">
        <v>110</v>
      </c>
      <c r="B108" s="5" t="s">
        <v>107</v>
      </c>
      <c r="C108" s="5">
        <v>110</v>
      </c>
      <c r="D108" s="5">
        <v>1</v>
      </c>
      <c r="E108" s="26">
        <v>43238</v>
      </c>
      <c r="F108" s="5" t="s">
        <v>791</v>
      </c>
      <c r="G108" s="8" t="s">
        <v>422</v>
      </c>
      <c r="H108" s="8" t="s">
        <v>49</v>
      </c>
      <c r="I108" s="8">
        <v>0</v>
      </c>
      <c r="J108" s="8" t="s">
        <v>55</v>
      </c>
      <c r="K108" s="8">
        <v>0</v>
      </c>
      <c r="L108" s="8" t="s">
        <v>442</v>
      </c>
      <c r="M108" s="21">
        <v>43102</v>
      </c>
      <c r="O108" s="8" t="s">
        <v>105</v>
      </c>
      <c r="P108" s="8" t="s">
        <v>8</v>
      </c>
      <c r="R108" s="8">
        <v>0</v>
      </c>
      <c r="S108" s="8" t="s">
        <v>2091</v>
      </c>
      <c r="T108" s="8" t="s">
        <v>440</v>
      </c>
      <c r="U108" s="8" t="s">
        <v>791</v>
      </c>
      <c r="V108" s="8" t="s">
        <v>440</v>
      </c>
      <c r="W108" s="8" t="s">
        <v>791</v>
      </c>
    </row>
    <row r="109" spans="1:23" x14ac:dyDescent="0.25">
      <c r="A109" s="8">
        <v>111</v>
      </c>
      <c r="B109" s="5" t="s">
        <v>107</v>
      </c>
      <c r="C109" s="5">
        <v>111</v>
      </c>
      <c r="D109" s="5">
        <v>1</v>
      </c>
      <c r="E109" s="26">
        <v>43238</v>
      </c>
      <c r="F109" s="5" t="s">
        <v>441</v>
      </c>
      <c r="G109" s="8" t="s">
        <v>422</v>
      </c>
      <c r="H109" s="8" t="s">
        <v>49</v>
      </c>
      <c r="I109" s="8">
        <v>0</v>
      </c>
      <c r="J109" s="8" t="s">
        <v>55</v>
      </c>
      <c r="K109" s="8">
        <v>0</v>
      </c>
      <c r="L109" s="8" t="s">
        <v>442</v>
      </c>
      <c r="M109" s="21">
        <v>43102</v>
      </c>
      <c r="O109" s="8" t="s">
        <v>105</v>
      </c>
      <c r="P109" s="8" t="s">
        <v>8</v>
      </c>
      <c r="R109" s="8">
        <v>0</v>
      </c>
      <c r="S109" s="8" t="s">
        <v>2092</v>
      </c>
      <c r="T109" s="8" t="s">
        <v>443</v>
      </c>
      <c r="U109" s="8" t="s">
        <v>441</v>
      </c>
      <c r="V109" s="8" t="s">
        <v>443</v>
      </c>
      <c r="W109" s="8" t="s">
        <v>441</v>
      </c>
    </row>
    <row r="110" spans="1:23" x14ac:dyDescent="0.25">
      <c r="A110" s="8">
        <v>112</v>
      </c>
      <c r="B110" s="5" t="s">
        <v>107</v>
      </c>
      <c r="C110" s="5">
        <v>112</v>
      </c>
      <c r="D110" s="5">
        <v>1</v>
      </c>
      <c r="E110" s="26">
        <v>43238</v>
      </c>
      <c r="F110" s="5" t="s">
        <v>1973</v>
      </c>
      <c r="G110" s="8" t="s">
        <v>422</v>
      </c>
      <c r="H110" s="8" t="s">
        <v>49</v>
      </c>
      <c r="I110" s="8">
        <v>0</v>
      </c>
      <c r="J110" s="8" t="s">
        <v>55</v>
      </c>
      <c r="K110" s="8">
        <v>0</v>
      </c>
      <c r="L110" s="8" t="s">
        <v>1981</v>
      </c>
      <c r="M110" s="21">
        <v>43102</v>
      </c>
      <c r="O110" s="8" t="s">
        <v>105</v>
      </c>
      <c r="P110" s="8" t="s">
        <v>8</v>
      </c>
      <c r="R110" s="8">
        <v>0</v>
      </c>
      <c r="S110" s="8" t="s">
        <v>2093</v>
      </c>
      <c r="T110" s="8" t="s">
        <v>444</v>
      </c>
      <c r="U110" s="8" t="s">
        <v>1973</v>
      </c>
      <c r="V110" s="8" t="s">
        <v>444</v>
      </c>
      <c r="W110" s="8" t="s">
        <v>1973</v>
      </c>
    </row>
    <row r="111" spans="1:23" x14ac:dyDescent="0.25">
      <c r="A111" s="8">
        <v>113</v>
      </c>
      <c r="B111" s="5" t="s">
        <v>107</v>
      </c>
      <c r="C111" s="5">
        <v>113</v>
      </c>
      <c r="D111" s="5">
        <v>1</v>
      </c>
      <c r="E111" s="26">
        <v>43238</v>
      </c>
      <c r="F111" s="5" t="s">
        <v>1974</v>
      </c>
      <c r="G111" s="8" t="s">
        <v>422</v>
      </c>
      <c r="H111" s="8" t="s">
        <v>49</v>
      </c>
      <c r="I111" s="8">
        <v>0</v>
      </c>
      <c r="J111" s="8" t="s">
        <v>55</v>
      </c>
      <c r="K111" s="8">
        <v>0</v>
      </c>
      <c r="L111" s="8" t="s">
        <v>1981</v>
      </c>
      <c r="M111" s="21">
        <v>43102</v>
      </c>
      <c r="O111" s="8" t="s">
        <v>105</v>
      </c>
      <c r="P111" s="8" t="s">
        <v>8</v>
      </c>
      <c r="R111" s="8">
        <v>0</v>
      </c>
      <c r="S111" s="8" t="s">
        <v>2094</v>
      </c>
      <c r="T111" s="8" t="s">
        <v>445</v>
      </c>
      <c r="U111" s="8" t="s">
        <v>1974</v>
      </c>
      <c r="V111" s="8" t="s">
        <v>445</v>
      </c>
      <c r="W111" s="8" t="s">
        <v>1974</v>
      </c>
    </row>
    <row r="112" spans="1:23" x14ac:dyDescent="0.25">
      <c r="A112" s="8">
        <v>114</v>
      </c>
      <c r="B112" s="5" t="s">
        <v>107</v>
      </c>
      <c r="C112" s="5">
        <v>114</v>
      </c>
      <c r="D112" s="5">
        <v>1</v>
      </c>
      <c r="E112" s="26">
        <v>43238</v>
      </c>
      <c r="F112" s="5" t="s">
        <v>446</v>
      </c>
      <c r="G112" s="8" t="s">
        <v>289</v>
      </c>
      <c r="H112" s="8" t="s">
        <v>49</v>
      </c>
      <c r="I112" s="8">
        <v>0</v>
      </c>
      <c r="J112" s="8" t="s">
        <v>55</v>
      </c>
      <c r="K112" s="8">
        <v>0</v>
      </c>
      <c r="L112" s="8" t="s">
        <v>447</v>
      </c>
      <c r="M112" s="21">
        <v>43102</v>
      </c>
      <c r="O112" s="8" t="s">
        <v>105</v>
      </c>
      <c r="P112" s="8" t="s">
        <v>8</v>
      </c>
      <c r="R112" s="8">
        <v>0</v>
      </c>
      <c r="S112" s="8" t="s">
        <v>2095</v>
      </c>
      <c r="T112" s="8" t="s">
        <v>448</v>
      </c>
      <c r="U112" s="8" t="s">
        <v>446</v>
      </c>
      <c r="V112" s="8" t="s">
        <v>448</v>
      </c>
      <c r="W112" s="8" t="s">
        <v>446</v>
      </c>
    </row>
    <row r="113" spans="1:23" x14ac:dyDescent="0.25">
      <c r="A113" s="8">
        <v>115</v>
      </c>
      <c r="B113" s="5" t="s">
        <v>107</v>
      </c>
      <c r="C113" s="5">
        <v>115</v>
      </c>
      <c r="D113" s="5">
        <v>1</v>
      </c>
      <c r="E113" s="26">
        <v>43238</v>
      </c>
      <c r="F113" s="5" t="s">
        <v>449</v>
      </c>
      <c r="G113" s="8" t="s">
        <v>289</v>
      </c>
      <c r="H113" s="8" t="s">
        <v>49</v>
      </c>
      <c r="I113" s="8">
        <v>0</v>
      </c>
      <c r="J113" s="8" t="s">
        <v>55</v>
      </c>
      <c r="K113" s="8">
        <v>0</v>
      </c>
      <c r="L113" s="8" t="s">
        <v>450</v>
      </c>
      <c r="M113" s="21">
        <v>43102</v>
      </c>
      <c r="O113" s="8" t="s">
        <v>105</v>
      </c>
      <c r="P113" s="8" t="s">
        <v>8</v>
      </c>
      <c r="R113" s="8">
        <v>0</v>
      </c>
      <c r="S113" s="8" t="s">
        <v>2096</v>
      </c>
      <c r="T113" s="8" t="s">
        <v>451</v>
      </c>
      <c r="U113" s="8" t="s">
        <v>449</v>
      </c>
      <c r="V113" s="8" t="s">
        <v>451</v>
      </c>
      <c r="W113" s="8" t="s">
        <v>449</v>
      </c>
    </row>
    <row r="114" spans="1:23" x14ac:dyDescent="0.25">
      <c r="A114" s="8">
        <v>116</v>
      </c>
      <c r="B114" s="5" t="s">
        <v>107</v>
      </c>
      <c r="C114" s="5">
        <v>116</v>
      </c>
      <c r="D114" s="5">
        <v>1</v>
      </c>
      <c r="E114" s="26">
        <v>43238</v>
      </c>
      <c r="F114" s="5" t="s">
        <v>452</v>
      </c>
      <c r="G114" s="8" t="s">
        <v>128</v>
      </c>
      <c r="H114" s="8" t="s">
        <v>49</v>
      </c>
      <c r="I114" s="8">
        <v>0</v>
      </c>
      <c r="J114" s="8" t="s">
        <v>55</v>
      </c>
      <c r="K114" s="8">
        <v>0</v>
      </c>
      <c r="L114" s="8" t="s">
        <v>453</v>
      </c>
      <c r="M114" s="21">
        <v>43102</v>
      </c>
      <c r="O114" s="8" t="s">
        <v>105</v>
      </c>
      <c r="P114" s="8" t="s">
        <v>8</v>
      </c>
      <c r="R114" s="8">
        <v>0</v>
      </c>
      <c r="S114" s="8" t="s">
        <v>2097</v>
      </c>
      <c r="T114" s="8" t="s">
        <v>454</v>
      </c>
      <c r="U114" s="8" t="s">
        <v>452</v>
      </c>
      <c r="V114" s="8" t="s">
        <v>454</v>
      </c>
      <c r="W114" s="8" t="s">
        <v>452</v>
      </c>
    </row>
    <row r="115" spans="1:23" x14ac:dyDescent="0.25">
      <c r="A115" s="8">
        <v>117</v>
      </c>
      <c r="B115" s="5" t="s">
        <v>107</v>
      </c>
      <c r="C115" s="5">
        <v>117</v>
      </c>
      <c r="D115" s="5">
        <v>1</v>
      </c>
      <c r="E115" s="26">
        <v>43238</v>
      </c>
      <c r="F115" s="5" t="s">
        <v>455</v>
      </c>
      <c r="G115" s="8" t="s">
        <v>325</v>
      </c>
      <c r="H115" s="8" t="s">
        <v>49</v>
      </c>
      <c r="I115" s="8">
        <v>0</v>
      </c>
      <c r="J115" s="8" t="s">
        <v>55</v>
      </c>
      <c r="K115" s="8">
        <v>0</v>
      </c>
      <c r="L115" s="8" t="s">
        <v>456</v>
      </c>
      <c r="M115" s="21">
        <v>43102</v>
      </c>
      <c r="O115" s="8" t="s">
        <v>105</v>
      </c>
      <c r="P115" s="8" t="s">
        <v>8</v>
      </c>
      <c r="R115" s="8">
        <v>0</v>
      </c>
      <c r="S115" s="8" t="s">
        <v>2098</v>
      </c>
      <c r="T115" s="8" t="s">
        <v>457</v>
      </c>
      <c r="U115" s="8" t="s">
        <v>455</v>
      </c>
      <c r="V115" s="8" t="s">
        <v>457</v>
      </c>
      <c r="W115" s="8" t="s">
        <v>455</v>
      </c>
    </row>
    <row r="116" spans="1:23" x14ac:dyDescent="0.25">
      <c r="A116" s="8">
        <v>118</v>
      </c>
      <c r="B116" s="5" t="s">
        <v>107</v>
      </c>
      <c r="C116" s="5">
        <v>118</v>
      </c>
      <c r="D116" s="5">
        <v>1</v>
      </c>
      <c r="E116" s="26">
        <v>43238</v>
      </c>
      <c r="F116" s="5" t="s">
        <v>2219</v>
      </c>
      <c r="G116" s="8" t="s">
        <v>293</v>
      </c>
      <c r="H116" s="8" t="s">
        <v>49</v>
      </c>
      <c r="I116" s="8">
        <v>0</v>
      </c>
      <c r="J116" s="8" t="s">
        <v>55</v>
      </c>
      <c r="K116" s="8">
        <v>0</v>
      </c>
      <c r="L116" s="8" t="s">
        <v>2220</v>
      </c>
      <c r="M116" s="21">
        <v>43102</v>
      </c>
      <c r="O116" s="8" t="s">
        <v>105</v>
      </c>
      <c r="P116" s="8" t="s">
        <v>8</v>
      </c>
      <c r="R116" s="8">
        <v>0</v>
      </c>
      <c r="S116" s="8" t="s">
        <v>2221</v>
      </c>
      <c r="T116" s="8" t="s">
        <v>458</v>
      </c>
      <c r="U116" s="8" t="s">
        <v>2219</v>
      </c>
      <c r="V116" s="8" t="s">
        <v>458</v>
      </c>
      <c r="W116" s="8" t="s">
        <v>2219</v>
      </c>
    </row>
    <row r="117" spans="1:23" x14ac:dyDescent="0.25">
      <c r="A117" s="8">
        <v>119</v>
      </c>
      <c r="B117" s="5" t="s">
        <v>107</v>
      </c>
      <c r="C117" s="5">
        <v>119</v>
      </c>
      <c r="D117" s="5">
        <v>1</v>
      </c>
      <c r="E117" s="26">
        <v>43238</v>
      </c>
      <c r="F117" s="5" t="s">
        <v>459</v>
      </c>
      <c r="G117" s="8" t="s">
        <v>348</v>
      </c>
      <c r="H117" s="8" t="s">
        <v>49</v>
      </c>
      <c r="I117" s="8">
        <v>0</v>
      </c>
      <c r="J117" s="8" t="s">
        <v>55</v>
      </c>
      <c r="K117" s="8">
        <v>0</v>
      </c>
      <c r="L117" s="8" t="s">
        <v>460</v>
      </c>
      <c r="M117" s="21">
        <v>43102</v>
      </c>
      <c r="O117" s="8" t="s">
        <v>105</v>
      </c>
      <c r="P117" s="8" t="s">
        <v>8</v>
      </c>
      <c r="R117" s="8">
        <v>0</v>
      </c>
      <c r="S117" s="8" t="s">
        <v>2099</v>
      </c>
      <c r="T117" s="8" t="s">
        <v>461</v>
      </c>
      <c r="U117" s="8" t="s">
        <v>459</v>
      </c>
      <c r="V117" s="8" t="s">
        <v>461</v>
      </c>
      <c r="W117" s="8" t="s">
        <v>459</v>
      </c>
    </row>
    <row r="118" spans="1:23" x14ac:dyDescent="0.25">
      <c r="A118" s="8">
        <v>120</v>
      </c>
      <c r="B118" s="5" t="s">
        <v>107</v>
      </c>
      <c r="C118" s="5">
        <v>120</v>
      </c>
      <c r="D118" s="5">
        <v>1</v>
      </c>
      <c r="E118" s="26">
        <v>43238</v>
      </c>
      <c r="F118" s="5" t="s">
        <v>462</v>
      </c>
      <c r="G118" s="8" t="s">
        <v>325</v>
      </c>
      <c r="H118" s="8" t="s">
        <v>49</v>
      </c>
      <c r="I118" s="8">
        <v>0</v>
      </c>
      <c r="J118" s="8" t="s">
        <v>55</v>
      </c>
      <c r="K118" s="8">
        <v>0</v>
      </c>
      <c r="L118" s="8" t="s">
        <v>463</v>
      </c>
      <c r="M118" s="21">
        <v>43102</v>
      </c>
      <c r="O118" s="8" t="s">
        <v>105</v>
      </c>
      <c r="P118" s="8" t="s">
        <v>8</v>
      </c>
      <c r="R118" s="8">
        <v>0</v>
      </c>
      <c r="S118" s="8" t="s">
        <v>2100</v>
      </c>
      <c r="T118" s="8" t="s">
        <v>464</v>
      </c>
      <c r="U118" s="8" t="s">
        <v>462</v>
      </c>
      <c r="V118" s="8" t="s">
        <v>464</v>
      </c>
      <c r="W118" s="8" t="s">
        <v>462</v>
      </c>
    </row>
    <row r="119" spans="1:23" x14ac:dyDescent="0.25">
      <c r="A119" s="8">
        <v>121</v>
      </c>
      <c r="B119" s="5" t="s">
        <v>107</v>
      </c>
      <c r="C119" s="5">
        <v>121</v>
      </c>
      <c r="D119" s="5">
        <v>1</v>
      </c>
      <c r="E119" s="26">
        <v>43238</v>
      </c>
      <c r="F119" s="5" t="s">
        <v>465</v>
      </c>
      <c r="G119" s="8" t="s">
        <v>224</v>
      </c>
      <c r="H119" s="8" t="s">
        <v>49</v>
      </c>
      <c r="I119" s="8">
        <v>0</v>
      </c>
      <c r="J119" s="8" t="s">
        <v>55</v>
      </c>
      <c r="K119" s="8">
        <v>0</v>
      </c>
      <c r="L119" s="8" t="s">
        <v>466</v>
      </c>
      <c r="M119" s="21">
        <v>43102</v>
      </c>
      <c r="O119" s="8" t="s">
        <v>105</v>
      </c>
      <c r="P119" s="8" t="s">
        <v>8</v>
      </c>
      <c r="R119" s="8">
        <v>0</v>
      </c>
      <c r="S119" s="8" t="s">
        <v>2101</v>
      </c>
      <c r="T119" s="8" t="s">
        <v>467</v>
      </c>
      <c r="U119" s="8" t="s">
        <v>465</v>
      </c>
      <c r="V119" s="8" t="s">
        <v>467</v>
      </c>
      <c r="W119" s="8" t="s">
        <v>465</v>
      </c>
    </row>
    <row r="120" spans="1:23" x14ac:dyDescent="0.25">
      <c r="A120" s="8">
        <v>122</v>
      </c>
      <c r="B120" s="5" t="s">
        <v>107</v>
      </c>
      <c r="C120" s="5">
        <v>122</v>
      </c>
      <c r="D120" s="5">
        <v>1</v>
      </c>
      <c r="E120" s="26">
        <v>43238</v>
      </c>
      <c r="F120" s="5" t="s">
        <v>468</v>
      </c>
      <c r="G120" s="8" t="s">
        <v>325</v>
      </c>
      <c r="H120" s="8" t="s">
        <v>49</v>
      </c>
      <c r="I120" s="8">
        <v>0</v>
      </c>
      <c r="J120" s="8" t="s">
        <v>55</v>
      </c>
      <c r="K120" s="8">
        <v>0</v>
      </c>
      <c r="L120" s="8" t="s">
        <v>469</v>
      </c>
      <c r="M120" s="21">
        <v>43102</v>
      </c>
      <c r="O120" s="8" t="s">
        <v>105</v>
      </c>
      <c r="P120" s="8" t="s">
        <v>8</v>
      </c>
      <c r="R120" s="8">
        <v>0</v>
      </c>
      <c r="S120" s="8" t="s">
        <v>2102</v>
      </c>
      <c r="T120" s="8" t="s">
        <v>470</v>
      </c>
      <c r="U120" s="8" t="s">
        <v>468</v>
      </c>
      <c r="V120" s="8" t="s">
        <v>470</v>
      </c>
      <c r="W120" s="8" t="s">
        <v>468</v>
      </c>
    </row>
    <row r="121" spans="1:23" x14ac:dyDescent="0.25">
      <c r="A121" s="8">
        <v>123</v>
      </c>
      <c r="B121" s="5" t="s">
        <v>107</v>
      </c>
      <c r="C121" s="5">
        <v>123</v>
      </c>
      <c r="D121" s="5">
        <v>1</v>
      </c>
      <c r="E121" s="26">
        <v>43238</v>
      </c>
      <c r="F121" s="5" t="s">
        <v>471</v>
      </c>
      <c r="G121" s="8" t="s">
        <v>133</v>
      </c>
      <c r="H121" s="8" t="s">
        <v>49</v>
      </c>
      <c r="I121" s="8">
        <v>0</v>
      </c>
      <c r="J121" s="8" t="s">
        <v>55</v>
      </c>
      <c r="K121" s="8">
        <v>0</v>
      </c>
      <c r="L121" s="8" t="s">
        <v>472</v>
      </c>
      <c r="M121" s="21">
        <v>43102</v>
      </c>
      <c r="O121" s="8" t="s">
        <v>105</v>
      </c>
      <c r="P121" s="8" t="s">
        <v>8</v>
      </c>
      <c r="R121" s="8">
        <v>0</v>
      </c>
      <c r="S121" s="8" t="s">
        <v>2103</v>
      </c>
      <c r="T121" s="8" t="s">
        <v>473</v>
      </c>
      <c r="U121" s="8" t="s">
        <v>471</v>
      </c>
      <c r="V121" s="8" t="s">
        <v>473</v>
      </c>
      <c r="W121" s="8" t="s">
        <v>471</v>
      </c>
    </row>
    <row r="122" spans="1:23" x14ac:dyDescent="0.25">
      <c r="A122" s="8">
        <v>124</v>
      </c>
      <c r="B122" s="5" t="s">
        <v>107</v>
      </c>
      <c r="C122" s="5">
        <v>124</v>
      </c>
      <c r="D122" s="5">
        <v>1</v>
      </c>
      <c r="E122" s="26">
        <v>43238</v>
      </c>
      <c r="F122" s="5" t="s">
        <v>474</v>
      </c>
      <c r="G122" s="8" t="s">
        <v>133</v>
      </c>
      <c r="H122" s="8" t="s">
        <v>49</v>
      </c>
      <c r="I122" s="8">
        <v>0</v>
      </c>
      <c r="J122" s="8" t="s">
        <v>55</v>
      </c>
      <c r="K122" s="8">
        <v>0</v>
      </c>
      <c r="L122" s="8" t="s">
        <v>475</v>
      </c>
      <c r="M122" s="21">
        <v>43102</v>
      </c>
      <c r="O122" s="8" t="s">
        <v>105</v>
      </c>
      <c r="P122" s="8" t="s">
        <v>8</v>
      </c>
      <c r="R122" s="8">
        <v>0</v>
      </c>
      <c r="S122" s="8" t="s">
        <v>2104</v>
      </c>
      <c r="T122" s="8" t="s">
        <v>476</v>
      </c>
      <c r="U122" s="8" t="s">
        <v>474</v>
      </c>
      <c r="V122" s="8" t="s">
        <v>476</v>
      </c>
      <c r="W122" s="8" t="s">
        <v>474</v>
      </c>
    </row>
    <row r="123" spans="1:23" x14ac:dyDescent="0.25">
      <c r="A123" s="8">
        <v>125</v>
      </c>
      <c r="B123" s="5" t="s">
        <v>107</v>
      </c>
      <c r="C123" s="5">
        <v>125</v>
      </c>
      <c r="D123" s="5">
        <v>1</v>
      </c>
      <c r="E123" s="26">
        <v>43238</v>
      </c>
      <c r="F123" s="5" t="s">
        <v>477</v>
      </c>
      <c r="G123" s="8" t="s">
        <v>364</v>
      </c>
      <c r="H123" s="8" t="s">
        <v>49</v>
      </c>
      <c r="I123" s="8">
        <v>0</v>
      </c>
      <c r="J123" s="8" t="s">
        <v>55</v>
      </c>
      <c r="K123" s="8">
        <v>0</v>
      </c>
      <c r="L123" s="8" t="s">
        <v>478</v>
      </c>
      <c r="M123" s="21">
        <v>43102</v>
      </c>
      <c r="O123" s="8" t="s">
        <v>105</v>
      </c>
      <c r="P123" s="8" t="s">
        <v>8</v>
      </c>
      <c r="R123" s="8">
        <v>0</v>
      </c>
      <c r="S123" s="8" t="s">
        <v>2105</v>
      </c>
      <c r="T123" s="8" t="s">
        <v>479</v>
      </c>
      <c r="U123" s="8" t="s">
        <v>477</v>
      </c>
      <c r="V123" s="8" t="s">
        <v>479</v>
      </c>
      <c r="W123" s="8" t="s">
        <v>477</v>
      </c>
    </row>
    <row r="124" spans="1:23" x14ac:dyDescent="0.25">
      <c r="A124" s="8">
        <v>126</v>
      </c>
      <c r="B124" s="5" t="s">
        <v>107</v>
      </c>
      <c r="C124" s="5">
        <v>126</v>
      </c>
      <c r="D124" s="5">
        <v>1</v>
      </c>
      <c r="E124" s="26">
        <v>43238</v>
      </c>
      <c r="F124" s="5" t="s">
        <v>480</v>
      </c>
      <c r="G124" s="8" t="s">
        <v>364</v>
      </c>
      <c r="H124" s="8" t="s">
        <v>49</v>
      </c>
      <c r="I124" s="8">
        <v>0</v>
      </c>
      <c r="J124" s="8" t="s">
        <v>55</v>
      </c>
      <c r="K124" s="8">
        <v>0</v>
      </c>
      <c r="L124" s="8" t="s">
        <v>478</v>
      </c>
      <c r="M124" s="21">
        <v>43102</v>
      </c>
      <c r="O124" s="8" t="s">
        <v>105</v>
      </c>
      <c r="P124" s="8" t="s">
        <v>8</v>
      </c>
      <c r="R124" s="8">
        <v>0</v>
      </c>
      <c r="S124" s="8" t="s">
        <v>2106</v>
      </c>
      <c r="T124" s="8" t="s">
        <v>481</v>
      </c>
      <c r="U124" s="8" t="s">
        <v>480</v>
      </c>
      <c r="V124" s="8" t="s">
        <v>481</v>
      </c>
      <c r="W124" s="8" t="s">
        <v>480</v>
      </c>
    </row>
    <row r="125" spans="1:23" x14ac:dyDescent="0.25">
      <c r="A125" s="8">
        <v>127</v>
      </c>
      <c r="B125" s="5" t="s">
        <v>107</v>
      </c>
      <c r="C125" s="5">
        <v>127</v>
      </c>
      <c r="D125" s="5">
        <v>1</v>
      </c>
      <c r="E125" s="26">
        <v>43238</v>
      </c>
      <c r="F125" s="5" t="s">
        <v>482</v>
      </c>
      <c r="G125" s="8" t="s">
        <v>483</v>
      </c>
      <c r="H125" s="8" t="s">
        <v>49</v>
      </c>
      <c r="I125" s="8">
        <v>0</v>
      </c>
      <c r="J125" s="8" t="s">
        <v>55</v>
      </c>
      <c r="K125" s="8">
        <v>0</v>
      </c>
      <c r="L125" s="8" t="s">
        <v>484</v>
      </c>
      <c r="M125" s="21">
        <v>43102</v>
      </c>
      <c r="O125" s="8" t="s">
        <v>105</v>
      </c>
      <c r="P125" s="8" t="s">
        <v>8</v>
      </c>
      <c r="R125" s="8">
        <v>0</v>
      </c>
      <c r="S125" s="8" t="s">
        <v>2107</v>
      </c>
      <c r="T125" s="8" t="s">
        <v>485</v>
      </c>
      <c r="U125" s="8" t="s">
        <v>482</v>
      </c>
      <c r="V125" s="8" t="s">
        <v>485</v>
      </c>
      <c r="W125" s="8" t="s">
        <v>482</v>
      </c>
    </row>
    <row r="126" spans="1:23" x14ac:dyDescent="0.25">
      <c r="A126" s="8">
        <v>128</v>
      </c>
      <c r="B126" s="5" t="s">
        <v>107</v>
      </c>
      <c r="C126" s="5">
        <v>128</v>
      </c>
      <c r="D126" s="5">
        <v>1</v>
      </c>
      <c r="E126" s="26">
        <v>43238</v>
      </c>
      <c r="F126" s="5" t="s">
        <v>486</v>
      </c>
      <c r="G126" s="8" t="s">
        <v>483</v>
      </c>
      <c r="H126" s="8" t="s">
        <v>49</v>
      </c>
      <c r="I126" s="8">
        <v>0</v>
      </c>
      <c r="J126" s="8" t="s">
        <v>55</v>
      </c>
      <c r="K126" s="8">
        <v>0</v>
      </c>
      <c r="L126" s="8" t="s">
        <v>484</v>
      </c>
      <c r="M126" s="21">
        <v>43102</v>
      </c>
      <c r="O126" s="8" t="s">
        <v>105</v>
      </c>
      <c r="P126" s="8" t="s">
        <v>8</v>
      </c>
      <c r="R126" s="8">
        <v>0</v>
      </c>
      <c r="S126" s="8" t="s">
        <v>2108</v>
      </c>
      <c r="T126" s="8" t="s">
        <v>487</v>
      </c>
      <c r="U126" s="8" t="s">
        <v>486</v>
      </c>
      <c r="V126" s="8" t="s">
        <v>487</v>
      </c>
      <c r="W126" s="8" t="s">
        <v>486</v>
      </c>
    </row>
    <row r="127" spans="1:23" x14ac:dyDescent="0.25">
      <c r="A127" s="8">
        <v>129</v>
      </c>
      <c r="B127" s="5" t="s">
        <v>107</v>
      </c>
      <c r="C127" s="5">
        <v>129</v>
      </c>
      <c r="D127" s="5">
        <v>1</v>
      </c>
      <c r="E127" s="26">
        <v>43238</v>
      </c>
      <c r="F127" s="5" t="s">
        <v>488</v>
      </c>
      <c r="G127" s="8" t="s">
        <v>489</v>
      </c>
      <c r="H127" s="8" t="s">
        <v>49</v>
      </c>
      <c r="I127" s="8">
        <v>0</v>
      </c>
      <c r="J127" s="8" t="s">
        <v>55</v>
      </c>
      <c r="K127" s="8">
        <v>0</v>
      </c>
      <c r="L127" s="8" t="s">
        <v>490</v>
      </c>
      <c r="M127" s="21">
        <v>43102</v>
      </c>
      <c r="O127" s="8" t="s">
        <v>105</v>
      </c>
      <c r="P127" s="8" t="s">
        <v>8</v>
      </c>
      <c r="R127" s="8">
        <v>0</v>
      </c>
      <c r="S127" s="8" t="s">
        <v>2109</v>
      </c>
      <c r="T127" s="8" t="s">
        <v>491</v>
      </c>
      <c r="U127" s="8" t="s">
        <v>488</v>
      </c>
      <c r="V127" s="8" t="s">
        <v>491</v>
      </c>
      <c r="W127" s="8" t="s">
        <v>488</v>
      </c>
    </row>
    <row r="128" spans="1:23" x14ac:dyDescent="0.25">
      <c r="A128" s="8">
        <v>130</v>
      </c>
      <c r="B128" s="5" t="s">
        <v>107</v>
      </c>
      <c r="C128" s="5">
        <v>130</v>
      </c>
      <c r="D128" s="5">
        <v>1</v>
      </c>
      <c r="E128" s="26">
        <v>43238</v>
      </c>
      <c r="F128" s="5" t="s">
        <v>492</v>
      </c>
      <c r="G128" s="8" t="s">
        <v>489</v>
      </c>
      <c r="H128" s="8" t="s">
        <v>49</v>
      </c>
      <c r="I128" s="8">
        <v>0</v>
      </c>
      <c r="J128" s="8" t="s">
        <v>55</v>
      </c>
      <c r="K128" s="8">
        <v>0</v>
      </c>
      <c r="L128" s="8" t="s">
        <v>490</v>
      </c>
      <c r="M128" s="21">
        <v>43102</v>
      </c>
      <c r="O128" s="8" t="s">
        <v>105</v>
      </c>
      <c r="P128" s="8" t="s">
        <v>8</v>
      </c>
      <c r="R128" s="8">
        <v>0</v>
      </c>
      <c r="S128" s="8" t="s">
        <v>2110</v>
      </c>
      <c r="T128" s="8" t="s">
        <v>493</v>
      </c>
      <c r="U128" s="8" t="s">
        <v>492</v>
      </c>
      <c r="V128" s="8" t="s">
        <v>493</v>
      </c>
      <c r="W128" s="8" t="s">
        <v>492</v>
      </c>
    </row>
    <row r="129" spans="1:23" x14ac:dyDescent="0.25">
      <c r="A129" s="8">
        <v>131</v>
      </c>
      <c r="B129" s="5" t="s">
        <v>107</v>
      </c>
      <c r="C129" s="5">
        <v>131</v>
      </c>
      <c r="D129" s="5">
        <v>1</v>
      </c>
      <c r="E129" s="26">
        <v>43238</v>
      </c>
      <c r="F129" s="5" t="s">
        <v>494</v>
      </c>
      <c r="G129" s="8" t="s">
        <v>495</v>
      </c>
      <c r="H129" s="8" t="s">
        <v>49</v>
      </c>
      <c r="I129" s="8">
        <v>0</v>
      </c>
      <c r="J129" s="8" t="s">
        <v>55</v>
      </c>
      <c r="K129" s="8">
        <v>0</v>
      </c>
      <c r="L129" s="8" t="s">
        <v>496</v>
      </c>
      <c r="M129" s="21">
        <v>43102</v>
      </c>
      <c r="O129" s="8" t="s">
        <v>105</v>
      </c>
      <c r="P129" s="8" t="s">
        <v>8</v>
      </c>
      <c r="R129" s="8">
        <v>0</v>
      </c>
      <c r="S129" s="8" t="s">
        <v>2111</v>
      </c>
      <c r="T129" s="8" t="s">
        <v>497</v>
      </c>
      <c r="U129" s="8" t="s">
        <v>494</v>
      </c>
      <c r="V129" s="8" t="s">
        <v>497</v>
      </c>
      <c r="W129" s="8" t="s">
        <v>494</v>
      </c>
    </row>
    <row r="130" spans="1:23" x14ac:dyDescent="0.25">
      <c r="A130" s="8">
        <v>132</v>
      </c>
      <c r="B130" s="5" t="s">
        <v>107</v>
      </c>
      <c r="C130" s="5">
        <v>132</v>
      </c>
      <c r="D130" s="5">
        <v>1</v>
      </c>
      <c r="E130" s="26">
        <v>43238</v>
      </c>
      <c r="F130" s="5" t="s">
        <v>498</v>
      </c>
      <c r="G130" s="8" t="s">
        <v>312</v>
      </c>
      <c r="H130" s="8" t="s">
        <v>49</v>
      </c>
      <c r="I130" s="8">
        <v>0</v>
      </c>
      <c r="J130" s="8" t="s">
        <v>55</v>
      </c>
      <c r="K130" s="8">
        <v>0</v>
      </c>
      <c r="L130" s="8" t="s">
        <v>499</v>
      </c>
      <c r="M130" s="21">
        <v>43102</v>
      </c>
      <c r="O130" s="8" t="s">
        <v>105</v>
      </c>
      <c r="P130" s="8" t="s">
        <v>8</v>
      </c>
      <c r="R130" s="8">
        <v>0</v>
      </c>
      <c r="S130" s="8" t="s">
        <v>2112</v>
      </c>
      <c r="T130" s="8" t="s">
        <v>500</v>
      </c>
      <c r="U130" s="8" t="s">
        <v>498</v>
      </c>
      <c r="V130" s="8" t="s">
        <v>500</v>
      </c>
      <c r="W130" s="8" t="s">
        <v>498</v>
      </c>
    </row>
    <row r="131" spans="1:23" x14ac:dyDescent="0.25">
      <c r="A131" s="8">
        <v>133</v>
      </c>
      <c r="B131" s="5" t="s">
        <v>107</v>
      </c>
      <c r="C131" s="5">
        <v>133</v>
      </c>
      <c r="D131" s="5">
        <v>1</v>
      </c>
      <c r="E131" s="26">
        <v>43238</v>
      </c>
      <c r="F131" s="5" t="s">
        <v>501</v>
      </c>
      <c r="G131" s="8" t="s">
        <v>325</v>
      </c>
      <c r="H131" s="8" t="s">
        <v>49</v>
      </c>
      <c r="I131" s="8">
        <v>0</v>
      </c>
      <c r="J131" s="8" t="s">
        <v>55</v>
      </c>
      <c r="K131" s="8">
        <v>0</v>
      </c>
      <c r="L131" s="8" t="s">
        <v>502</v>
      </c>
      <c r="M131" s="21">
        <v>43102</v>
      </c>
      <c r="O131" s="8" t="s">
        <v>105</v>
      </c>
      <c r="P131" s="8" t="s">
        <v>8</v>
      </c>
      <c r="R131" s="8">
        <v>0</v>
      </c>
      <c r="S131" s="8" t="s">
        <v>2113</v>
      </c>
      <c r="T131" s="8" t="s">
        <v>503</v>
      </c>
      <c r="U131" s="8" t="s">
        <v>501</v>
      </c>
      <c r="V131" s="8" t="s">
        <v>503</v>
      </c>
      <c r="W131" s="8" t="s">
        <v>501</v>
      </c>
    </row>
    <row r="132" spans="1:23" x14ac:dyDescent="0.25">
      <c r="A132" s="8">
        <v>134</v>
      </c>
      <c r="B132" s="5" t="s">
        <v>107</v>
      </c>
      <c r="C132" s="5">
        <v>134</v>
      </c>
      <c r="D132" s="5">
        <v>1</v>
      </c>
      <c r="E132" s="26">
        <v>43238</v>
      </c>
      <c r="F132" s="5" t="s">
        <v>117</v>
      </c>
      <c r="G132" s="8" t="s">
        <v>504</v>
      </c>
      <c r="H132" s="8" t="s">
        <v>49</v>
      </c>
      <c r="I132" s="8">
        <v>0</v>
      </c>
      <c r="J132" s="8" t="s">
        <v>55</v>
      </c>
      <c r="K132" s="8">
        <v>0</v>
      </c>
      <c r="L132" s="8" t="s">
        <v>505</v>
      </c>
      <c r="M132" s="21">
        <v>43102</v>
      </c>
      <c r="O132" s="8" t="s">
        <v>105</v>
      </c>
      <c r="P132" s="8" t="s">
        <v>8</v>
      </c>
      <c r="R132" s="8">
        <v>0</v>
      </c>
      <c r="S132" s="8" t="s">
        <v>2114</v>
      </c>
      <c r="T132" s="8" t="s">
        <v>506</v>
      </c>
      <c r="U132" s="8" t="s">
        <v>117</v>
      </c>
      <c r="V132" s="8" t="s">
        <v>506</v>
      </c>
      <c r="W132" s="8" t="s">
        <v>117</v>
      </c>
    </row>
    <row r="133" spans="1:23" x14ac:dyDescent="0.25">
      <c r="A133" s="8">
        <v>135</v>
      </c>
      <c r="B133" s="5" t="s">
        <v>107</v>
      </c>
      <c r="C133" s="5">
        <v>135</v>
      </c>
      <c r="D133" s="5">
        <v>1</v>
      </c>
      <c r="E133" s="26">
        <v>43238</v>
      </c>
      <c r="F133" s="5" t="s">
        <v>507</v>
      </c>
      <c r="G133" s="8" t="s">
        <v>422</v>
      </c>
      <c r="H133" s="8" t="s">
        <v>49</v>
      </c>
      <c r="I133" s="8">
        <v>0</v>
      </c>
      <c r="J133" s="8" t="s">
        <v>55</v>
      </c>
      <c r="K133" s="8">
        <v>0</v>
      </c>
      <c r="L133" s="8" t="s">
        <v>508</v>
      </c>
      <c r="M133" s="21">
        <v>43102</v>
      </c>
      <c r="O133" s="8" t="s">
        <v>105</v>
      </c>
      <c r="P133" s="8" t="s">
        <v>8</v>
      </c>
      <c r="R133" s="8">
        <v>0</v>
      </c>
      <c r="S133" s="8" t="s">
        <v>2115</v>
      </c>
      <c r="T133" s="8" t="s">
        <v>509</v>
      </c>
      <c r="U133" s="8" t="s">
        <v>507</v>
      </c>
      <c r="V133" s="8" t="s">
        <v>509</v>
      </c>
      <c r="W133" s="8" t="s">
        <v>507</v>
      </c>
    </row>
    <row r="134" spans="1:23" x14ac:dyDescent="0.25">
      <c r="A134" s="8">
        <v>136</v>
      </c>
      <c r="B134" s="5" t="s">
        <v>107</v>
      </c>
      <c r="C134" s="5">
        <v>136</v>
      </c>
      <c r="D134" s="5">
        <v>1</v>
      </c>
      <c r="E134" s="26">
        <v>43238</v>
      </c>
      <c r="F134" s="5" t="s">
        <v>510</v>
      </c>
      <c r="G134" s="8" t="s">
        <v>422</v>
      </c>
      <c r="H134" s="8" t="s">
        <v>49</v>
      </c>
      <c r="I134" s="8">
        <v>0</v>
      </c>
      <c r="J134" s="8" t="s">
        <v>55</v>
      </c>
      <c r="K134" s="8">
        <v>0</v>
      </c>
      <c r="L134" s="8" t="s">
        <v>508</v>
      </c>
      <c r="M134" s="21">
        <v>43102</v>
      </c>
      <c r="O134" s="8" t="s">
        <v>105</v>
      </c>
      <c r="P134" s="8" t="s">
        <v>8</v>
      </c>
      <c r="R134" s="8">
        <v>0</v>
      </c>
      <c r="S134" s="8" t="s">
        <v>2116</v>
      </c>
      <c r="T134" s="8" t="s">
        <v>511</v>
      </c>
      <c r="U134" s="8" t="s">
        <v>510</v>
      </c>
      <c r="V134" s="8" t="s">
        <v>511</v>
      </c>
      <c r="W134" s="8" t="s">
        <v>510</v>
      </c>
    </row>
    <row r="135" spans="1:23" x14ac:dyDescent="0.25">
      <c r="A135" s="8">
        <v>137</v>
      </c>
      <c r="B135" s="5" t="s">
        <v>107</v>
      </c>
      <c r="C135" s="5">
        <v>137</v>
      </c>
      <c r="D135" s="5">
        <v>1</v>
      </c>
      <c r="E135" s="26">
        <v>43238</v>
      </c>
      <c r="F135" s="5" t="s">
        <v>512</v>
      </c>
      <c r="G135" s="8" t="s">
        <v>199</v>
      </c>
      <c r="H135" s="8" t="s">
        <v>49</v>
      </c>
      <c r="I135" s="8">
        <v>0</v>
      </c>
      <c r="J135" s="8" t="s">
        <v>55</v>
      </c>
      <c r="K135" s="8">
        <v>0</v>
      </c>
      <c r="L135" s="8" t="s">
        <v>513</v>
      </c>
      <c r="M135" s="21">
        <v>43102</v>
      </c>
      <c r="O135" s="8" t="s">
        <v>105</v>
      </c>
      <c r="P135" s="8" t="s">
        <v>8</v>
      </c>
      <c r="R135" s="8">
        <v>0</v>
      </c>
      <c r="S135" s="8" t="s">
        <v>2117</v>
      </c>
      <c r="T135" s="8" t="s">
        <v>514</v>
      </c>
      <c r="U135" s="8" t="s">
        <v>512</v>
      </c>
      <c r="V135" s="8" t="s">
        <v>514</v>
      </c>
      <c r="W135" s="8" t="s">
        <v>512</v>
      </c>
    </row>
    <row r="136" spans="1:23" x14ac:dyDescent="0.25">
      <c r="A136" s="8">
        <v>138</v>
      </c>
      <c r="B136" s="5" t="s">
        <v>107</v>
      </c>
      <c r="C136" s="5">
        <v>138</v>
      </c>
      <c r="D136" s="5">
        <v>1</v>
      </c>
      <c r="E136" s="26">
        <v>43238</v>
      </c>
      <c r="F136" s="5" t="s">
        <v>515</v>
      </c>
      <c r="G136" s="8" t="s">
        <v>516</v>
      </c>
      <c r="H136" s="8" t="s">
        <v>49</v>
      </c>
      <c r="I136" s="8">
        <v>0</v>
      </c>
      <c r="J136" s="8" t="s">
        <v>55</v>
      </c>
      <c r="K136" s="8">
        <v>0</v>
      </c>
      <c r="L136" s="8" t="s">
        <v>517</v>
      </c>
      <c r="M136" s="21">
        <v>43102</v>
      </c>
      <c r="O136" s="8" t="s">
        <v>105</v>
      </c>
      <c r="P136" s="8" t="s">
        <v>8</v>
      </c>
      <c r="R136" s="8">
        <v>0</v>
      </c>
      <c r="S136" s="8" t="s">
        <v>2118</v>
      </c>
      <c r="T136" s="8" t="s">
        <v>518</v>
      </c>
      <c r="U136" s="8" t="s">
        <v>515</v>
      </c>
      <c r="V136" s="8" t="s">
        <v>518</v>
      </c>
      <c r="W136" s="8" t="s">
        <v>515</v>
      </c>
    </row>
    <row r="137" spans="1:23" x14ac:dyDescent="0.25">
      <c r="A137" s="8">
        <v>139</v>
      </c>
      <c r="B137" s="5" t="s">
        <v>107</v>
      </c>
      <c r="C137" s="5">
        <v>139</v>
      </c>
      <c r="D137" s="5">
        <v>1</v>
      </c>
      <c r="E137" s="26">
        <v>43238</v>
      </c>
      <c r="F137" s="5" t="s">
        <v>519</v>
      </c>
      <c r="G137" s="8" t="s">
        <v>325</v>
      </c>
      <c r="H137" s="8" t="s">
        <v>49</v>
      </c>
      <c r="I137" s="8">
        <v>0</v>
      </c>
      <c r="J137" s="8" t="s">
        <v>55</v>
      </c>
      <c r="K137" s="8">
        <v>0</v>
      </c>
      <c r="L137" s="8" t="s">
        <v>520</v>
      </c>
      <c r="M137" s="21">
        <v>43102</v>
      </c>
      <c r="O137" s="8" t="s">
        <v>105</v>
      </c>
      <c r="P137" s="8" t="s">
        <v>8</v>
      </c>
      <c r="R137" s="8">
        <v>0</v>
      </c>
      <c r="S137" s="8" t="s">
        <v>2119</v>
      </c>
      <c r="T137" s="8" t="s">
        <v>521</v>
      </c>
      <c r="U137" s="8" t="s">
        <v>519</v>
      </c>
      <c r="V137" s="8" t="s">
        <v>521</v>
      </c>
      <c r="W137" s="8" t="s">
        <v>519</v>
      </c>
    </row>
    <row r="138" spans="1:23" x14ac:dyDescent="0.25">
      <c r="A138" s="8">
        <v>140</v>
      </c>
      <c r="B138" s="5" t="s">
        <v>107</v>
      </c>
      <c r="C138" s="5">
        <v>140</v>
      </c>
      <c r="D138" s="5">
        <v>1</v>
      </c>
      <c r="E138" s="26">
        <v>43238</v>
      </c>
      <c r="F138" s="5" t="s">
        <v>522</v>
      </c>
      <c r="G138" s="8" t="s">
        <v>325</v>
      </c>
      <c r="H138" s="8" t="s">
        <v>49</v>
      </c>
      <c r="I138" s="8">
        <v>0</v>
      </c>
      <c r="J138" s="8" t="s">
        <v>55</v>
      </c>
      <c r="K138" s="8">
        <v>0</v>
      </c>
      <c r="L138" s="8" t="s">
        <v>520</v>
      </c>
      <c r="M138" s="21">
        <v>43102</v>
      </c>
      <c r="O138" s="8" t="s">
        <v>105</v>
      </c>
      <c r="P138" s="8" t="s">
        <v>8</v>
      </c>
      <c r="R138" s="8">
        <v>0</v>
      </c>
      <c r="S138" s="8" t="s">
        <v>2120</v>
      </c>
      <c r="T138" s="8" t="s">
        <v>523</v>
      </c>
      <c r="U138" s="8" t="s">
        <v>522</v>
      </c>
      <c r="V138" s="8" t="s">
        <v>523</v>
      </c>
      <c r="W138" s="8" t="s">
        <v>522</v>
      </c>
    </row>
    <row r="139" spans="1:23" x14ac:dyDescent="0.25">
      <c r="A139" s="8">
        <v>141</v>
      </c>
      <c r="B139" s="5" t="s">
        <v>107</v>
      </c>
      <c r="C139" s="5">
        <v>141</v>
      </c>
      <c r="D139" s="5">
        <v>1</v>
      </c>
      <c r="E139" s="26">
        <v>43238</v>
      </c>
      <c r="F139" s="5" t="s">
        <v>524</v>
      </c>
      <c r="G139" s="8" t="s">
        <v>325</v>
      </c>
      <c r="H139" s="8" t="s">
        <v>49</v>
      </c>
      <c r="I139" s="8">
        <v>0</v>
      </c>
      <c r="J139" s="8" t="s">
        <v>55</v>
      </c>
      <c r="K139" s="8">
        <v>0</v>
      </c>
      <c r="L139" s="8" t="s">
        <v>520</v>
      </c>
      <c r="M139" s="21">
        <v>43102</v>
      </c>
      <c r="O139" s="8" t="s">
        <v>105</v>
      </c>
      <c r="P139" s="8" t="s">
        <v>8</v>
      </c>
      <c r="R139" s="8">
        <v>0</v>
      </c>
      <c r="S139" s="8" t="s">
        <v>2121</v>
      </c>
      <c r="T139" s="8" t="s">
        <v>525</v>
      </c>
      <c r="U139" s="8" t="s">
        <v>524</v>
      </c>
      <c r="V139" s="8" t="s">
        <v>525</v>
      </c>
      <c r="W139" s="8" t="s">
        <v>524</v>
      </c>
    </row>
    <row r="140" spans="1:23" x14ac:dyDescent="0.25">
      <c r="A140" s="8">
        <v>142</v>
      </c>
      <c r="B140" s="5" t="s">
        <v>107</v>
      </c>
      <c r="C140" s="5">
        <v>142</v>
      </c>
      <c r="D140" s="5">
        <v>1</v>
      </c>
      <c r="E140" s="26">
        <v>43238</v>
      </c>
      <c r="F140" s="5" t="s">
        <v>526</v>
      </c>
      <c r="G140" s="8" t="s">
        <v>527</v>
      </c>
      <c r="H140" s="8" t="s">
        <v>49</v>
      </c>
      <c r="I140" s="8">
        <v>0</v>
      </c>
      <c r="J140" s="8" t="s">
        <v>55</v>
      </c>
      <c r="K140" s="8">
        <v>0</v>
      </c>
      <c r="L140" s="8" t="s">
        <v>528</v>
      </c>
      <c r="M140" s="21">
        <v>43102</v>
      </c>
      <c r="O140" s="8" t="s">
        <v>105</v>
      </c>
      <c r="P140" s="8" t="s">
        <v>8</v>
      </c>
      <c r="R140" s="8">
        <v>0</v>
      </c>
      <c r="S140" s="8" t="s">
        <v>2122</v>
      </c>
      <c r="T140" s="8" t="s">
        <v>529</v>
      </c>
      <c r="U140" s="8" t="s">
        <v>526</v>
      </c>
      <c r="V140" s="8" t="s">
        <v>529</v>
      </c>
      <c r="W140" s="8" t="s">
        <v>526</v>
      </c>
    </row>
    <row r="141" spans="1:23" x14ac:dyDescent="0.25">
      <c r="A141" s="8">
        <v>143</v>
      </c>
      <c r="B141" s="5" t="s">
        <v>107</v>
      </c>
      <c r="C141" s="5">
        <v>143</v>
      </c>
      <c r="D141" s="5">
        <v>1</v>
      </c>
      <c r="E141" s="26">
        <v>43238</v>
      </c>
      <c r="F141" s="5" t="s">
        <v>530</v>
      </c>
      <c r="G141" s="8" t="s">
        <v>224</v>
      </c>
      <c r="H141" s="8" t="s">
        <v>49</v>
      </c>
      <c r="I141" s="8">
        <v>0</v>
      </c>
      <c r="J141" s="8" t="s">
        <v>55</v>
      </c>
      <c r="K141" s="8">
        <v>0</v>
      </c>
      <c r="L141" s="8" t="s">
        <v>531</v>
      </c>
      <c r="M141" s="21">
        <v>43102</v>
      </c>
      <c r="O141" s="8" t="s">
        <v>105</v>
      </c>
      <c r="P141" s="8" t="s">
        <v>8</v>
      </c>
      <c r="R141" s="8">
        <v>0</v>
      </c>
      <c r="S141" s="8" t="s">
        <v>2123</v>
      </c>
      <c r="T141" s="8" t="s">
        <v>532</v>
      </c>
      <c r="U141" s="8" t="s">
        <v>530</v>
      </c>
      <c r="V141" s="8" t="s">
        <v>532</v>
      </c>
      <c r="W141" s="8" t="s">
        <v>530</v>
      </c>
    </row>
    <row r="142" spans="1:23" x14ac:dyDescent="0.25">
      <c r="A142" s="8">
        <v>144</v>
      </c>
      <c r="B142" s="5" t="s">
        <v>107</v>
      </c>
      <c r="C142" s="5">
        <v>144</v>
      </c>
      <c r="D142" s="5">
        <v>1</v>
      </c>
      <c r="E142" s="26">
        <v>43238</v>
      </c>
      <c r="F142" s="5" t="s">
        <v>533</v>
      </c>
      <c r="G142" s="8" t="s">
        <v>534</v>
      </c>
      <c r="H142" s="8" t="s">
        <v>49</v>
      </c>
      <c r="I142" s="8">
        <v>0</v>
      </c>
      <c r="J142" s="8" t="s">
        <v>55</v>
      </c>
      <c r="K142" s="8">
        <v>0</v>
      </c>
      <c r="L142" s="8" t="s">
        <v>535</v>
      </c>
      <c r="M142" s="21">
        <v>43102</v>
      </c>
      <c r="O142" s="8" t="s">
        <v>105</v>
      </c>
      <c r="P142" s="8" t="s">
        <v>8</v>
      </c>
      <c r="R142" s="8">
        <v>0</v>
      </c>
      <c r="S142" s="8" t="s">
        <v>2124</v>
      </c>
      <c r="T142" s="8" t="s">
        <v>536</v>
      </c>
      <c r="U142" s="8" t="s">
        <v>533</v>
      </c>
      <c r="V142" s="8" t="s">
        <v>536</v>
      </c>
      <c r="W142" s="8" t="s">
        <v>533</v>
      </c>
    </row>
    <row r="143" spans="1:23" x14ac:dyDescent="0.25">
      <c r="A143" s="8">
        <v>145</v>
      </c>
      <c r="B143" s="5" t="s">
        <v>107</v>
      </c>
      <c r="C143" s="5">
        <v>145</v>
      </c>
      <c r="D143" s="5">
        <v>1</v>
      </c>
      <c r="E143" s="26">
        <v>43238</v>
      </c>
      <c r="F143" s="5" t="s">
        <v>537</v>
      </c>
      <c r="G143" s="8" t="s">
        <v>534</v>
      </c>
      <c r="H143" s="8" t="s">
        <v>49</v>
      </c>
      <c r="I143" s="8">
        <v>0</v>
      </c>
      <c r="J143" s="8" t="s">
        <v>55</v>
      </c>
      <c r="K143" s="8">
        <v>0</v>
      </c>
      <c r="L143" s="8" t="s">
        <v>538</v>
      </c>
      <c r="M143" s="21">
        <v>43102</v>
      </c>
      <c r="O143" s="8" t="s">
        <v>105</v>
      </c>
      <c r="P143" s="8" t="s">
        <v>8</v>
      </c>
      <c r="R143" s="8">
        <v>0</v>
      </c>
      <c r="S143" s="8" t="s">
        <v>2125</v>
      </c>
      <c r="T143" s="8" t="s">
        <v>539</v>
      </c>
      <c r="U143" s="8" t="s">
        <v>537</v>
      </c>
      <c r="V143" s="8" t="s">
        <v>539</v>
      </c>
      <c r="W143" s="8" t="s">
        <v>537</v>
      </c>
    </row>
    <row r="144" spans="1:23" x14ac:dyDescent="0.25">
      <c r="A144" s="8">
        <v>146</v>
      </c>
      <c r="B144" s="5" t="s">
        <v>107</v>
      </c>
      <c r="C144" s="5">
        <v>146</v>
      </c>
      <c r="D144" s="5">
        <v>1</v>
      </c>
      <c r="E144" s="26">
        <v>43238</v>
      </c>
      <c r="F144" s="5" t="s">
        <v>540</v>
      </c>
      <c r="G144" s="8" t="s">
        <v>422</v>
      </c>
      <c r="H144" s="8" t="s">
        <v>49</v>
      </c>
      <c r="I144" s="8">
        <v>0</v>
      </c>
      <c r="J144" s="8" t="s">
        <v>55</v>
      </c>
      <c r="K144" s="8">
        <v>0</v>
      </c>
      <c r="L144" s="8" t="s">
        <v>541</v>
      </c>
      <c r="M144" s="21">
        <v>43102</v>
      </c>
      <c r="O144" s="8" t="s">
        <v>105</v>
      </c>
      <c r="P144" s="8" t="s">
        <v>8</v>
      </c>
      <c r="R144" s="8">
        <v>0</v>
      </c>
      <c r="S144" s="8" t="s">
        <v>2126</v>
      </c>
      <c r="T144" s="8" t="s">
        <v>542</v>
      </c>
      <c r="U144" s="8" t="s">
        <v>540</v>
      </c>
      <c r="V144" s="8" t="s">
        <v>542</v>
      </c>
      <c r="W144" s="8" t="s">
        <v>540</v>
      </c>
    </row>
    <row r="145" spans="1:23" x14ac:dyDescent="0.25">
      <c r="A145" s="8">
        <v>147</v>
      </c>
      <c r="B145" s="5" t="s">
        <v>107</v>
      </c>
      <c r="C145" s="5">
        <v>147</v>
      </c>
      <c r="D145" s="5">
        <v>1</v>
      </c>
      <c r="E145" s="26">
        <v>43238</v>
      </c>
      <c r="F145" s="5" t="s">
        <v>120</v>
      </c>
      <c r="G145" s="8" t="s">
        <v>422</v>
      </c>
      <c r="H145" s="8" t="s">
        <v>49</v>
      </c>
      <c r="I145" s="8">
        <v>0</v>
      </c>
      <c r="J145" s="8" t="s">
        <v>55</v>
      </c>
      <c r="K145" s="8">
        <v>0</v>
      </c>
      <c r="L145" s="8" t="s">
        <v>543</v>
      </c>
      <c r="M145" s="21">
        <v>43102</v>
      </c>
      <c r="O145" s="8" t="s">
        <v>105</v>
      </c>
      <c r="P145" s="8" t="s">
        <v>8</v>
      </c>
      <c r="R145" s="8">
        <v>0</v>
      </c>
      <c r="S145" s="8" t="s">
        <v>2127</v>
      </c>
      <c r="T145" s="8" t="s">
        <v>544</v>
      </c>
      <c r="U145" s="8" t="s">
        <v>120</v>
      </c>
      <c r="V145" s="8" t="s">
        <v>544</v>
      </c>
      <c r="W145" s="8" t="s">
        <v>120</v>
      </c>
    </row>
    <row r="146" spans="1:23" x14ac:dyDescent="0.25">
      <c r="A146" s="8">
        <v>148</v>
      </c>
      <c r="B146" s="5" t="s">
        <v>107</v>
      </c>
      <c r="C146" s="5">
        <v>148</v>
      </c>
      <c r="D146" s="5">
        <v>1</v>
      </c>
      <c r="E146" s="26">
        <v>43238</v>
      </c>
      <c r="F146" s="5" t="s">
        <v>123</v>
      </c>
      <c r="G146" s="8" t="s">
        <v>422</v>
      </c>
      <c r="H146" s="8" t="s">
        <v>49</v>
      </c>
      <c r="I146" s="8">
        <v>0</v>
      </c>
      <c r="J146" s="8" t="s">
        <v>55</v>
      </c>
      <c r="K146" s="8">
        <v>0</v>
      </c>
      <c r="L146" s="8" t="s">
        <v>545</v>
      </c>
      <c r="M146" s="21">
        <v>43102</v>
      </c>
      <c r="O146" s="8" t="s">
        <v>105</v>
      </c>
      <c r="P146" s="8" t="s">
        <v>8</v>
      </c>
      <c r="R146" s="8">
        <v>0</v>
      </c>
      <c r="S146" s="8" t="s">
        <v>2128</v>
      </c>
      <c r="T146" s="8" t="s">
        <v>546</v>
      </c>
      <c r="U146" s="8" t="s">
        <v>123</v>
      </c>
      <c r="V146" s="8" t="s">
        <v>546</v>
      </c>
      <c r="W146" s="8" t="s">
        <v>123</v>
      </c>
    </row>
    <row r="147" spans="1:23" x14ac:dyDescent="0.25">
      <c r="A147" s="8">
        <v>149</v>
      </c>
      <c r="B147" s="5" t="s">
        <v>107</v>
      </c>
      <c r="C147" s="5">
        <v>149</v>
      </c>
      <c r="D147" s="5">
        <v>1</v>
      </c>
      <c r="E147" s="26">
        <v>43238</v>
      </c>
      <c r="F147" s="5" t="s">
        <v>547</v>
      </c>
      <c r="G147" s="8" t="s">
        <v>422</v>
      </c>
      <c r="H147" s="8" t="s">
        <v>49</v>
      </c>
      <c r="I147" s="8">
        <v>0</v>
      </c>
      <c r="J147" s="8" t="s">
        <v>55</v>
      </c>
      <c r="K147" s="8">
        <v>0</v>
      </c>
      <c r="L147" s="8" t="s">
        <v>545</v>
      </c>
      <c r="M147" s="21">
        <v>43102</v>
      </c>
      <c r="O147" s="8" t="s">
        <v>105</v>
      </c>
      <c r="P147" s="8" t="s">
        <v>8</v>
      </c>
      <c r="R147" s="8">
        <v>0</v>
      </c>
      <c r="S147" s="8" t="s">
        <v>2129</v>
      </c>
      <c r="T147" s="8" t="s">
        <v>548</v>
      </c>
      <c r="U147" s="8" t="s">
        <v>547</v>
      </c>
      <c r="V147" s="8" t="s">
        <v>548</v>
      </c>
      <c r="W147" s="8" t="s">
        <v>547</v>
      </c>
    </row>
    <row r="148" spans="1:23" x14ac:dyDescent="0.25">
      <c r="A148" s="8">
        <v>150</v>
      </c>
      <c r="B148" s="5" t="s">
        <v>107</v>
      </c>
      <c r="C148" s="5">
        <v>150</v>
      </c>
      <c r="D148" s="5">
        <v>1</v>
      </c>
      <c r="E148" s="26">
        <v>43238</v>
      </c>
      <c r="F148" s="5" t="s">
        <v>549</v>
      </c>
      <c r="G148" s="8" t="s">
        <v>224</v>
      </c>
      <c r="H148" s="8" t="s">
        <v>49</v>
      </c>
      <c r="I148" s="8">
        <v>0</v>
      </c>
      <c r="J148" s="8" t="s">
        <v>55</v>
      </c>
      <c r="K148" s="8">
        <v>0</v>
      </c>
      <c r="L148" s="8" t="s">
        <v>550</v>
      </c>
      <c r="M148" s="21">
        <v>43102</v>
      </c>
      <c r="O148" s="8" t="s">
        <v>105</v>
      </c>
      <c r="P148" s="8" t="s">
        <v>8</v>
      </c>
      <c r="R148" s="8">
        <v>0</v>
      </c>
      <c r="S148" s="8" t="s">
        <v>2130</v>
      </c>
      <c r="T148" s="8" t="s">
        <v>551</v>
      </c>
      <c r="U148" s="8" t="s">
        <v>549</v>
      </c>
      <c r="V148" s="8" t="s">
        <v>551</v>
      </c>
      <c r="W148" s="8" t="s">
        <v>549</v>
      </c>
    </row>
    <row r="149" spans="1:23" x14ac:dyDescent="0.25">
      <c r="A149" s="8">
        <v>151</v>
      </c>
      <c r="B149" s="5" t="s">
        <v>107</v>
      </c>
      <c r="C149" s="5">
        <v>151</v>
      </c>
      <c r="D149" s="5">
        <v>1</v>
      </c>
      <c r="E149" s="26">
        <v>43238</v>
      </c>
      <c r="F149" s="5" t="s">
        <v>552</v>
      </c>
      <c r="G149" s="8" t="s">
        <v>422</v>
      </c>
      <c r="H149" s="8" t="s">
        <v>49</v>
      </c>
      <c r="I149" s="8">
        <v>0</v>
      </c>
      <c r="J149" s="8" t="s">
        <v>55</v>
      </c>
      <c r="K149" s="8">
        <v>0</v>
      </c>
      <c r="L149" s="8" t="s">
        <v>553</v>
      </c>
      <c r="M149" s="21">
        <v>43102</v>
      </c>
      <c r="O149" s="8" t="s">
        <v>105</v>
      </c>
      <c r="P149" s="8" t="s">
        <v>8</v>
      </c>
      <c r="R149" s="8">
        <v>0</v>
      </c>
      <c r="S149" s="8" t="s">
        <v>2131</v>
      </c>
      <c r="T149" s="8" t="s">
        <v>554</v>
      </c>
      <c r="U149" s="8" t="s">
        <v>552</v>
      </c>
      <c r="V149" s="8" t="s">
        <v>554</v>
      </c>
      <c r="W149" s="8" t="s">
        <v>552</v>
      </c>
    </row>
    <row r="150" spans="1:23" x14ac:dyDescent="0.25">
      <c r="A150" s="8">
        <v>152</v>
      </c>
      <c r="B150" s="5" t="s">
        <v>107</v>
      </c>
      <c r="C150" s="5">
        <v>152</v>
      </c>
      <c r="D150" s="5">
        <v>1</v>
      </c>
      <c r="E150" s="26">
        <v>43238</v>
      </c>
      <c r="F150" s="5" t="s">
        <v>555</v>
      </c>
      <c r="G150" s="8" t="s">
        <v>516</v>
      </c>
      <c r="H150" s="8" t="s">
        <v>49</v>
      </c>
      <c r="I150" s="8">
        <v>0</v>
      </c>
      <c r="J150" s="8" t="s">
        <v>55</v>
      </c>
      <c r="K150" s="8">
        <v>0</v>
      </c>
      <c r="L150" s="8" t="s">
        <v>556</v>
      </c>
      <c r="M150" s="21">
        <v>43102</v>
      </c>
      <c r="O150" s="8" t="s">
        <v>105</v>
      </c>
      <c r="P150" s="8" t="s">
        <v>8</v>
      </c>
      <c r="R150" s="8">
        <v>0</v>
      </c>
      <c r="S150" s="8" t="s">
        <v>2132</v>
      </c>
      <c r="T150" s="8" t="s">
        <v>557</v>
      </c>
      <c r="U150" s="8" t="s">
        <v>555</v>
      </c>
      <c r="V150" s="8" t="s">
        <v>557</v>
      </c>
      <c r="W150" s="8" t="s">
        <v>555</v>
      </c>
    </row>
    <row r="151" spans="1:23" x14ac:dyDescent="0.25">
      <c r="A151" s="8">
        <v>153</v>
      </c>
      <c r="B151" s="5" t="s">
        <v>107</v>
      </c>
      <c r="C151" s="5">
        <v>153</v>
      </c>
      <c r="D151" s="5">
        <v>1</v>
      </c>
      <c r="E151" s="26">
        <v>43238</v>
      </c>
      <c r="F151" s="5" t="s">
        <v>1976</v>
      </c>
      <c r="G151" s="8" t="s">
        <v>199</v>
      </c>
      <c r="H151" s="8" t="s">
        <v>49</v>
      </c>
      <c r="I151" s="8">
        <v>0</v>
      </c>
      <c r="J151" s="8" t="s">
        <v>55</v>
      </c>
      <c r="K151" s="8">
        <v>0</v>
      </c>
      <c r="L151" s="8" t="s">
        <v>1982</v>
      </c>
      <c r="M151" s="21">
        <v>43102</v>
      </c>
      <c r="O151" s="8" t="s">
        <v>105</v>
      </c>
      <c r="P151" s="8" t="s">
        <v>8</v>
      </c>
      <c r="R151" s="8">
        <v>0</v>
      </c>
      <c r="S151" s="8" t="s">
        <v>2133</v>
      </c>
      <c r="T151" s="8" t="s">
        <v>558</v>
      </c>
      <c r="U151" s="8" t="s">
        <v>1976</v>
      </c>
      <c r="V151" s="8" t="s">
        <v>558</v>
      </c>
      <c r="W151" s="8" t="s">
        <v>1976</v>
      </c>
    </row>
    <row r="152" spans="1:23" x14ac:dyDescent="0.25">
      <c r="A152" s="8">
        <v>154</v>
      </c>
      <c r="B152" s="5" t="s">
        <v>107</v>
      </c>
      <c r="C152" s="5">
        <v>154</v>
      </c>
      <c r="D152" s="5">
        <v>1</v>
      </c>
      <c r="E152" s="26">
        <v>43238</v>
      </c>
      <c r="F152" s="5" t="s">
        <v>1975</v>
      </c>
      <c r="G152" s="8" t="s">
        <v>199</v>
      </c>
      <c r="H152" s="8" t="s">
        <v>49</v>
      </c>
      <c r="I152" s="8">
        <v>0</v>
      </c>
      <c r="J152" s="8" t="s">
        <v>55</v>
      </c>
      <c r="K152" s="8">
        <v>0</v>
      </c>
      <c r="L152" s="8" t="s">
        <v>1983</v>
      </c>
      <c r="M152" s="21">
        <v>43102</v>
      </c>
      <c r="O152" s="8" t="s">
        <v>105</v>
      </c>
      <c r="P152" s="8" t="s">
        <v>8</v>
      </c>
      <c r="R152" s="8">
        <v>0</v>
      </c>
      <c r="S152" s="8" t="s">
        <v>2134</v>
      </c>
      <c r="T152" s="8" t="s">
        <v>559</v>
      </c>
      <c r="U152" s="8" t="s">
        <v>1975</v>
      </c>
      <c r="V152" s="8" t="s">
        <v>559</v>
      </c>
      <c r="W152" s="8" t="s">
        <v>1975</v>
      </c>
    </row>
    <row r="153" spans="1:23" x14ac:dyDescent="0.25">
      <c r="A153" s="8">
        <v>155</v>
      </c>
      <c r="B153" s="5" t="s">
        <v>107</v>
      </c>
      <c r="C153" s="5">
        <v>155</v>
      </c>
      <c r="D153" s="5">
        <v>1</v>
      </c>
      <c r="E153" s="26">
        <v>43238</v>
      </c>
      <c r="F153" s="5" t="s">
        <v>560</v>
      </c>
      <c r="G153" s="8" t="s">
        <v>199</v>
      </c>
      <c r="H153" s="8" t="s">
        <v>49</v>
      </c>
      <c r="I153" s="8">
        <v>0</v>
      </c>
      <c r="J153" s="8" t="s">
        <v>55</v>
      </c>
      <c r="K153" s="8">
        <v>0</v>
      </c>
      <c r="L153" s="8" t="s">
        <v>561</v>
      </c>
      <c r="M153" s="21">
        <v>43102</v>
      </c>
      <c r="O153" s="8" t="s">
        <v>105</v>
      </c>
      <c r="P153" s="8" t="s">
        <v>8</v>
      </c>
      <c r="R153" s="8">
        <v>0</v>
      </c>
      <c r="S153" s="8" t="s">
        <v>2135</v>
      </c>
      <c r="T153" s="8" t="s">
        <v>562</v>
      </c>
      <c r="U153" s="8" t="s">
        <v>560</v>
      </c>
      <c r="V153" s="8" t="s">
        <v>562</v>
      </c>
      <c r="W153" s="8" t="s">
        <v>560</v>
      </c>
    </row>
    <row r="154" spans="1:23" x14ac:dyDescent="0.25">
      <c r="A154" s="8">
        <v>156</v>
      </c>
      <c r="B154" s="5" t="s">
        <v>107</v>
      </c>
      <c r="C154" s="5">
        <v>156</v>
      </c>
      <c r="D154" s="5">
        <v>1</v>
      </c>
      <c r="E154" s="26">
        <v>43238</v>
      </c>
      <c r="F154" s="5" t="s">
        <v>563</v>
      </c>
      <c r="G154" s="8" t="s">
        <v>133</v>
      </c>
      <c r="H154" s="8" t="s">
        <v>49</v>
      </c>
      <c r="I154" s="8">
        <v>0</v>
      </c>
      <c r="J154" s="8" t="s">
        <v>55</v>
      </c>
      <c r="K154" s="8">
        <v>0</v>
      </c>
      <c r="L154" s="8" t="s">
        <v>564</v>
      </c>
      <c r="M154" s="21">
        <v>43102</v>
      </c>
      <c r="O154" s="8" t="s">
        <v>105</v>
      </c>
      <c r="P154" s="8" t="s">
        <v>8</v>
      </c>
      <c r="R154" s="8">
        <v>0</v>
      </c>
      <c r="S154" s="8" t="s">
        <v>2136</v>
      </c>
      <c r="T154" s="8" t="s">
        <v>565</v>
      </c>
      <c r="U154" s="8" t="s">
        <v>563</v>
      </c>
      <c r="V154" s="8" t="s">
        <v>565</v>
      </c>
      <c r="W154" s="8" t="s">
        <v>563</v>
      </c>
    </row>
    <row r="155" spans="1:23" x14ac:dyDescent="0.25">
      <c r="A155" s="8">
        <v>157</v>
      </c>
      <c r="B155" s="5" t="s">
        <v>107</v>
      </c>
      <c r="C155" s="5">
        <v>157</v>
      </c>
      <c r="D155" s="5">
        <v>1</v>
      </c>
      <c r="E155" s="26">
        <v>43238</v>
      </c>
      <c r="F155" s="5" t="s">
        <v>566</v>
      </c>
      <c r="G155" s="8" t="s">
        <v>199</v>
      </c>
      <c r="H155" s="8" t="s">
        <v>49</v>
      </c>
      <c r="I155" s="8">
        <v>0</v>
      </c>
      <c r="J155" s="8" t="s">
        <v>55</v>
      </c>
      <c r="K155" s="8">
        <v>0</v>
      </c>
      <c r="L155" s="8" t="s">
        <v>567</v>
      </c>
      <c r="M155" s="21">
        <v>43102</v>
      </c>
      <c r="O155" s="8" t="s">
        <v>105</v>
      </c>
      <c r="P155" s="8" t="s">
        <v>8</v>
      </c>
      <c r="R155" s="8">
        <v>0</v>
      </c>
      <c r="S155" s="8" t="s">
        <v>2137</v>
      </c>
      <c r="T155" s="8" t="s">
        <v>568</v>
      </c>
      <c r="U155" s="8" t="s">
        <v>566</v>
      </c>
      <c r="V155" s="8" t="s">
        <v>568</v>
      </c>
      <c r="W155" s="8" t="s">
        <v>566</v>
      </c>
    </row>
    <row r="156" spans="1:23" x14ac:dyDescent="0.25">
      <c r="A156" s="8">
        <v>158</v>
      </c>
      <c r="B156" s="5" t="s">
        <v>107</v>
      </c>
      <c r="C156" s="5">
        <v>158</v>
      </c>
      <c r="D156" s="5">
        <v>1</v>
      </c>
      <c r="E156" s="26">
        <v>43238</v>
      </c>
      <c r="F156" s="5" t="s">
        <v>569</v>
      </c>
      <c r="G156" s="8" t="s">
        <v>534</v>
      </c>
      <c r="H156" s="8" t="s">
        <v>49</v>
      </c>
      <c r="I156" s="8">
        <v>0</v>
      </c>
      <c r="J156" s="8" t="s">
        <v>55</v>
      </c>
      <c r="K156" s="8">
        <v>0</v>
      </c>
      <c r="L156" s="8" t="s">
        <v>570</v>
      </c>
      <c r="M156" s="21">
        <v>43102</v>
      </c>
      <c r="O156" s="8" t="s">
        <v>105</v>
      </c>
      <c r="P156" s="8" t="s">
        <v>8</v>
      </c>
      <c r="R156" s="8">
        <v>0</v>
      </c>
      <c r="S156" s="8" t="s">
        <v>2138</v>
      </c>
      <c r="T156" s="8" t="s">
        <v>571</v>
      </c>
      <c r="U156" s="8" t="s">
        <v>569</v>
      </c>
      <c r="V156" s="8" t="s">
        <v>571</v>
      </c>
      <c r="W156" s="8" t="s">
        <v>569</v>
      </c>
    </row>
    <row r="157" spans="1:23" x14ac:dyDescent="0.25">
      <c r="A157" s="8">
        <v>159</v>
      </c>
      <c r="B157" s="5" t="s">
        <v>107</v>
      </c>
      <c r="C157" s="5">
        <v>159</v>
      </c>
      <c r="D157" s="5">
        <v>1</v>
      </c>
      <c r="E157" s="26">
        <v>43238</v>
      </c>
      <c r="F157" s="5" t="s">
        <v>572</v>
      </c>
      <c r="G157" s="8" t="s">
        <v>199</v>
      </c>
      <c r="H157" s="8" t="s">
        <v>49</v>
      </c>
      <c r="I157" s="8">
        <v>0</v>
      </c>
      <c r="J157" s="8" t="s">
        <v>55</v>
      </c>
      <c r="K157" s="8">
        <v>0</v>
      </c>
      <c r="L157" s="8" t="s">
        <v>573</v>
      </c>
      <c r="M157" s="21">
        <v>43102</v>
      </c>
      <c r="O157" s="8" t="s">
        <v>105</v>
      </c>
      <c r="P157" s="8" t="s">
        <v>8</v>
      </c>
      <c r="R157" s="8">
        <v>0</v>
      </c>
      <c r="S157" s="8" t="s">
        <v>2139</v>
      </c>
      <c r="T157" s="8" t="s">
        <v>574</v>
      </c>
      <c r="U157" s="8" t="s">
        <v>572</v>
      </c>
      <c r="V157" s="8" t="s">
        <v>574</v>
      </c>
      <c r="W157" s="8" t="s">
        <v>572</v>
      </c>
    </row>
    <row r="158" spans="1:23" x14ac:dyDescent="0.25">
      <c r="A158" s="8">
        <v>160</v>
      </c>
      <c r="B158" s="5" t="s">
        <v>107</v>
      </c>
      <c r="C158" s="5">
        <v>160</v>
      </c>
      <c r="D158" s="5">
        <v>1</v>
      </c>
      <c r="E158" s="26">
        <v>43238</v>
      </c>
      <c r="F158" s="5" t="s">
        <v>575</v>
      </c>
      <c r="G158" s="8" t="s">
        <v>199</v>
      </c>
      <c r="H158" s="8" t="s">
        <v>49</v>
      </c>
      <c r="I158" s="8">
        <v>0</v>
      </c>
      <c r="J158" s="8" t="s">
        <v>55</v>
      </c>
      <c r="K158" s="8">
        <v>0</v>
      </c>
      <c r="L158" s="8" t="s">
        <v>576</v>
      </c>
      <c r="M158" s="21">
        <v>43102</v>
      </c>
      <c r="O158" s="8" t="s">
        <v>105</v>
      </c>
      <c r="P158" s="8" t="s">
        <v>8</v>
      </c>
      <c r="R158" s="8">
        <v>0</v>
      </c>
      <c r="S158" s="8" t="s">
        <v>2140</v>
      </c>
      <c r="T158" s="8" t="s">
        <v>577</v>
      </c>
      <c r="U158" s="8" t="s">
        <v>575</v>
      </c>
      <c r="V158" s="8" t="s">
        <v>577</v>
      </c>
      <c r="W158" s="8" t="s">
        <v>575</v>
      </c>
    </row>
    <row r="159" spans="1:23" x14ac:dyDescent="0.25">
      <c r="A159" s="8">
        <v>161</v>
      </c>
      <c r="B159" s="5" t="s">
        <v>107</v>
      </c>
      <c r="C159" s="5">
        <v>161</v>
      </c>
      <c r="D159" s="5">
        <v>1</v>
      </c>
      <c r="E159" s="26">
        <v>43238</v>
      </c>
      <c r="F159" s="5" t="s">
        <v>578</v>
      </c>
      <c r="G159" s="8" t="s">
        <v>199</v>
      </c>
      <c r="H159" s="8" t="s">
        <v>49</v>
      </c>
      <c r="I159" s="8">
        <v>0</v>
      </c>
      <c r="J159" s="8" t="s">
        <v>55</v>
      </c>
      <c r="K159" s="8">
        <v>0</v>
      </c>
      <c r="L159" s="8" t="s">
        <v>579</v>
      </c>
      <c r="M159" s="21">
        <v>43102</v>
      </c>
      <c r="O159" s="8" t="s">
        <v>105</v>
      </c>
      <c r="P159" s="8" t="s">
        <v>8</v>
      </c>
      <c r="R159" s="8">
        <v>0</v>
      </c>
      <c r="S159" s="8" t="s">
        <v>2141</v>
      </c>
      <c r="T159" s="8" t="s">
        <v>580</v>
      </c>
      <c r="U159" s="8" t="s">
        <v>578</v>
      </c>
      <c r="V159" s="8" t="s">
        <v>580</v>
      </c>
      <c r="W159" s="8" t="s">
        <v>578</v>
      </c>
    </row>
    <row r="160" spans="1:23" x14ac:dyDescent="0.25">
      <c r="A160" s="8">
        <v>162</v>
      </c>
      <c r="B160" s="5" t="s">
        <v>107</v>
      </c>
      <c r="C160" s="5">
        <v>162</v>
      </c>
      <c r="D160" s="5">
        <v>1</v>
      </c>
      <c r="E160" s="26">
        <v>43238</v>
      </c>
      <c r="F160" s="5" t="s">
        <v>581</v>
      </c>
      <c r="G160" s="8" t="s">
        <v>534</v>
      </c>
      <c r="H160" s="8" t="s">
        <v>49</v>
      </c>
      <c r="I160" s="8">
        <v>0</v>
      </c>
      <c r="J160" s="8" t="s">
        <v>55</v>
      </c>
      <c r="K160" s="8">
        <v>0</v>
      </c>
      <c r="L160" s="8" t="s">
        <v>582</v>
      </c>
      <c r="M160" s="21">
        <v>43102</v>
      </c>
      <c r="O160" s="8" t="s">
        <v>105</v>
      </c>
      <c r="P160" s="8" t="s">
        <v>8</v>
      </c>
      <c r="R160" s="8">
        <v>0</v>
      </c>
      <c r="S160" s="8" t="s">
        <v>2142</v>
      </c>
      <c r="T160" s="8" t="s">
        <v>583</v>
      </c>
      <c r="U160" s="8" t="s">
        <v>581</v>
      </c>
      <c r="V160" s="8" t="s">
        <v>583</v>
      </c>
      <c r="W160" s="8" t="s">
        <v>581</v>
      </c>
    </row>
    <row r="161" spans="1:23" x14ac:dyDescent="0.25">
      <c r="A161" s="8">
        <v>163</v>
      </c>
      <c r="B161" s="5" t="s">
        <v>107</v>
      </c>
      <c r="C161" s="5">
        <v>163</v>
      </c>
      <c r="D161" s="5">
        <v>1</v>
      </c>
      <c r="E161" s="26">
        <v>43238</v>
      </c>
      <c r="F161" s="5" t="s">
        <v>584</v>
      </c>
      <c r="G161" s="8" t="s">
        <v>534</v>
      </c>
      <c r="H161" s="8" t="s">
        <v>49</v>
      </c>
      <c r="I161" s="8">
        <v>0</v>
      </c>
      <c r="J161" s="8" t="s">
        <v>55</v>
      </c>
      <c r="K161" s="8">
        <v>0</v>
      </c>
      <c r="L161" s="8" t="s">
        <v>585</v>
      </c>
      <c r="M161" s="21">
        <v>43102</v>
      </c>
      <c r="O161" s="8" t="s">
        <v>105</v>
      </c>
      <c r="P161" s="8" t="s">
        <v>8</v>
      </c>
      <c r="R161" s="8">
        <v>0</v>
      </c>
      <c r="S161" s="8" t="s">
        <v>2143</v>
      </c>
      <c r="T161" s="8" t="s">
        <v>586</v>
      </c>
      <c r="U161" s="8" t="s">
        <v>584</v>
      </c>
      <c r="V161" s="8" t="s">
        <v>586</v>
      </c>
      <c r="W161" s="8" t="s">
        <v>584</v>
      </c>
    </row>
    <row r="162" spans="1:23" x14ac:dyDescent="0.25">
      <c r="A162" s="8">
        <v>164</v>
      </c>
      <c r="B162" s="5" t="s">
        <v>107</v>
      </c>
      <c r="C162" s="5">
        <v>164</v>
      </c>
      <c r="D162" s="5">
        <v>1</v>
      </c>
      <c r="E162" s="26">
        <v>43238</v>
      </c>
      <c r="F162" s="5" t="s">
        <v>2222</v>
      </c>
      <c r="G162" s="8" t="s">
        <v>199</v>
      </c>
      <c r="H162" s="8" t="s">
        <v>49</v>
      </c>
      <c r="I162" s="8">
        <v>0</v>
      </c>
      <c r="J162" s="8" t="s">
        <v>55</v>
      </c>
      <c r="K162" s="8">
        <v>0</v>
      </c>
      <c r="L162" s="8" t="s">
        <v>2223</v>
      </c>
      <c r="M162" s="21">
        <v>43102</v>
      </c>
      <c r="O162" s="8" t="s">
        <v>105</v>
      </c>
      <c r="P162" s="8" t="s">
        <v>8</v>
      </c>
      <c r="R162" s="8">
        <v>0</v>
      </c>
      <c r="S162" s="8" t="s">
        <v>2224</v>
      </c>
      <c r="T162" s="8" t="s">
        <v>587</v>
      </c>
      <c r="U162" s="8" t="s">
        <v>2222</v>
      </c>
      <c r="V162" s="8" t="s">
        <v>587</v>
      </c>
      <c r="W162" s="8" t="s">
        <v>2222</v>
      </c>
    </row>
    <row r="163" spans="1:23" x14ac:dyDescent="0.25">
      <c r="A163" s="8">
        <v>165</v>
      </c>
      <c r="B163" s="5" t="s">
        <v>107</v>
      </c>
      <c r="C163" s="5">
        <v>165</v>
      </c>
      <c r="D163" s="5">
        <v>1</v>
      </c>
      <c r="E163" s="26">
        <v>43238</v>
      </c>
      <c r="F163" s="5" t="s">
        <v>2225</v>
      </c>
      <c r="G163" s="8" t="s">
        <v>516</v>
      </c>
      <c r="H163" s="8" t="s">
        <v>49</v>
      </c>
      <c r="I163" s="8">
        <v>0</v>
      </c>
      <c r="J163" s="8" t="s">
        <v>55</v>
      </c>
      <c r="K163" s="8">
        <v>0</v>
      </c>
      <c r="L163" s="8" t="s">
        <v>2226</v>
      </c>
      <c r="M163" s="21">
        <v>43102</v>
      </c>
      <c r="O163" s="8" t="s">
        <v>105</v>
      </c>
      <c r="P163" s="8" t="s">
        <v>8</v>
      </c>
      <c r="R163" s="8">
        <v>0</v>
      </c>
      <c r="S163" s="8" t="s">
        <v>2227</v>
      </c>
      <c r="T163" s="8" t="s">
        <v>588</v>
      </c>
      <c r="U163" s="8" t="s">
        <v>2225</v>
      </c>
      <c r="V163" s="8" t="s">
        <v>588</v>
      </c>
      <c r="W163" s="8" t="s">
        <v>2225</v>
      </c>
    </row>
    <row r="164" spans="1:23" x14ac:dyDescent="0.25">
      <c r="A164" s="8">
        <v>166</v>
      </c>
      <c r="B164" s="5" t="s">
        <v>107</v>
      </c>
      <c r="C164" s="5">
        <v>166</v>
      </c>
      <c r="D164" s="5">
        <v>1</v>
      </c>
      <c r="E164" s="26">
        <v>43238</v>
      </c>
      <c r="F164" s="5" t="s">
        <v>2228</v>
      </c>
      <c r="G164" s="8" t="s">
        <v>516</v>
      </c>
      <c r="H164" s="8" t="s">
        <v>49</v>
      </c>
      <c r="I164" s="8">
        <v>0</v>
      </c>
      <c r="J164" s="8" t="s">
        <v>55</v>
      </c>
      <c r="K164" s="8">
        <v>0</v>
      </c>
      <c r="L164" s="8" t="s">
        <v>2229</v>
      </c>
      <c r="M164" s="21">
        <v>43102</v>
      </c>
      <c r="O164" s="8" t="s">
        <v>105</v>
      </c>
      <c r="P164" s="8" t="s">
        <v>8</v>
      </c>
      <c r="R164" s="8">
        <v>0</v>
      </c>
      <c r="S164" s="8" t="s">
        <v>2230</v>
      </c>
      <c r="T164" s="8" t="s">
        <v>589</v>
      </c>
      <c r="U164" s="8" t="s">
        <v>2228</v>
      </c>
      <c r="V164" s="8" t="s">
        <v>589</v>
      </c>
      <c r="W164" s="8" t="s">
        <v>2228</v>
      </c>
    </row>
    <row r="165" spans="1:23" x14ac:dyDescent="0.25">
      <c r="A165" s="8">
        <v>167</v>
      </c>
      <c r="B165" s="5" t="s">
        <v>107</v>
      </c>
      <c r="C165" s="5">
        <v>167</v>
      </c>
      <c r="D165" s="5">
        <v>1</v>
      </c>
      <c r="E165" s="26">
        <v>43238</v>
      </c>
      <c r="F165" s="5" t="s">
        <v>2231</v>
      </c>
      <c r="G165" s="8" t="s">
        <v>516</v>
      </c>
      <c r="H165" s="8" t="s">
        <v>49</v>
      </c>
      <c r="I165" s="8">
        <v>0</v>
      </c>
      <c r="J165" s="8" t="s">
        <v>55</v>
      </c>
      <c r="K165" s="8">
        <v>0</v>
      </c>
      <c r="L165" s="8" t="s">
        <v>2232</v>
      </c>
      <c r="M165" s="21">
        <v>43102</v>
      </c>
      <c r="O165" s="8" t="s">
        <v>105</v>
      </c>
      <c r="P165" s="8" t="s">
        <v>8</v>
      </c>
      <c r="R165" s="8">
        <v>0</v>
      </c>
      <c r="S165" s="8" t="s">
        <v>2233</v>
      </c>
      <c r="T165" s="8" t="s">
        <v>590</v>
      </c>
      <c r="U165" s="8" t="s">
        <v>2231</v>
      </c>
      <c r="V165" s="8" t="s">
        <v>590</v>
      </c>
      <c r="W165" s="8" t="s">
        <v>2231</v>
      </c>
    </row>
    <row r="166" spans="1:23" x14ac:dyDescent="0.25">
      <c r="A166" s="8">
        <v>168</v>
      </c>
      <c r="B166" s="5" t="s">
        <v>107</v>
      </c>
      <c r="C166" s="5">
        <v>168</v>
      </c>
      <c r="D166" s="5">
        <v>1</v>
      </c>
      <c r="E166" s="26">
        <v>43238</v>
      </c>
      <c r="F166" s="5" t="s">
        <v>591</v>
      </c>
      <c r="G166" s="8" t="s">
        <v>534</v>
      </c>
      <c r="H166" s="8" t="s">
        <v>49</v>
      </c>
      <c r="I166" s="8">
        <v>0</v>
      </c>
      <c r="J166" s="8" t="s">
        <v>55</v>
      </c>
      <c r="K166" s="8">
        <v>0</v>
      </c>
      <c r="L166" s="8" t="s">
        <v>592</v>
      </c>
      <c r="M166" s="21">
        <v>43102</v>
      </c>
      <c r="O166" s="8" t="s">
        <v>105</v>
      </c>
      <c r="P166" s="8" t="s">
        <v>8</v>
      </c>
      <c r="R166" s="8">
        <v>0</v>
      </c>
      <c r="S166" s="8" t="s">
        <v>2144</v>
      </c>
      <c r="T166" s="8" t="s">
        <v>593</v>
      </c>
      <c r="U166" s="8" t="s">
        <v>591</v>
      </c>
      <c r="V166" s="8" t="s">
        <v>593</v>
      </c>
      <c r="W166" s="8" t="s">
        <v>591</v>
      </c>
    </row>
    <row r="167" spans="1:23" x14ac:dyDescent="0.25">
      <c r="A167" s="8">
        <v>169</v>
      </c>
      <c r="B167" s="5" t="s">
        <v>107</v>
      </c>
      <c r="C167" s="5">
        <v>169</v>
      </c>
      <c r="D167" s="5">
        <v>1</v>
      </c>
      <c r="E167" s="26">
        <v>43238</v>
      </c>
      <c r="F167" s="5" t="s">
        <v>1977</v>
      </c>
      <c r="G167" s="8" t="s">
        <v>133</v>
      </c>
      <c r="H167" s="8" t="s">
        <v>49</v>
      </c>
      <c r="I167" s="8">
        <v>0</v>
      </c>
      <c r="J167" s="8" t="s">
        <v>55</v>
      </c>
      <c r="K167" s="8">
        <v>0</v>
      </c>
      <c r="L167" s="8" t="s">
        <v>1984</v>
      </c>
      <c r="M167" s="21">
        <v>43102</v>
      </c>
      <c r="O167" s="8" t="s">
        <v>105</v>
      </c>
      <c r="P167" s="8" t="s">
        <v>8</v>
      </c>
      <c r="R167" s="8">
        <v>0</v>
      </c>
      <c r="S167" s="8" t="s">
        <v>2145</v>
      </c>
      <c r="T167" s="8" t="s">
        <v>594</v>
      </c>
      <c r="U167" s="8" t="s">
        <v>1977</v>
      </c>
      <c r="V167" s="8" t="s">
        <v>594</v>
      </c>
      <c r="W167" s="8" t="s">
        <v>1977</v>
      </c>
    </row>
    <row r="168" spans="1:23" x14ac:dyDescent="0.25">
      <c r="A168" s="8">
        <v>170</v>
      </c>
      <c r="B168" s="5" t="s">
        <v>107</v>
      </c>
      <c r="C168" s="5">
        <v>170</v>
      </c>
      <c r="D168" s="5">
        <v>1</v>
      </c>
      <c r="E168" s="26">
        <v>43238</v>
      </c>
      <c r="F168" s="5" t="s">
        <v>595</v>
      </c>
      <c r="G168" s="8" t="s">
        <v>128</v>
      </c>
      <c r="H168" s="8" t="s">
        <v>49</v>
      </c>
      <c r="I168" s="8">
        <v>0</v>
      </c>
      <c r="J168" s="8" t="s">
        <v>55</v>
      </c>
      <c r="K168" s="8">
        <v>0</v>
      </c>
      <c r="L168" s="8" t="s">
        <v>596</v>
      </c>
      <c r="M168" s="21">
        <v>43102</v>
      </c>
      <c r="O168" s="8" t="s">
        <v>105</v>
      </c>
      <c r="P168" s="8" t="s">
        <v>8</v>
      </c>
      <c r="R168" s="8">
        <v>0</v>
      </c>
      <c r="S168" s="8" t="s">
        <v>2146</v>
      </c>
      <c r="T168" s="8" t="s">
        <v>597</v>
      </c>
      <c r="U168" s="8" t="s">
        <v>595</v>
      </c>
      <c r="V168" s="8" t="s">
        <v>597</v>
      </c>
      <c r="W168" s="8" t="s">
        <v>595</v>
      </c>
    </row>
    <row r="169" spans="1:23" x14ac:dyDescent="0.25">
      <c r="A169" s="8">
        <v>171</v>
      </c>
      <c r="B169" s="5" t="s">
        <v>107</v>
      </c>
      <c r="C169" s="5">
        <v>171</v>
      </c>
      <c r="D169" s="5">
        <v>1</v>
      </c>
      <c r="E169" s="26">
        <v>43238</v>
      </c>
      <c r="F169" s="5" t="s">
        <v>598</v>
      </c>
      <c r="G169" s="8" t="s">
        <v>599</v>
      </c>
      <c r="H169" s="8" t="s">
        <v>49</v>
      </c>
      <c r="I169" s="8">
        <v>0</v>
      </c>
      <c r="J169" s="8" t="s">
        <v>55</v>
      </c>
      <c r="K169" s="8">
        <v>0</v>
      </c>
      <c r="L169" s="8" t="s">
        <v>600</v>
      </c>
      <c r="M169" s="21">
        <v>43102</v>
      </c>
      <c r="O169" s="8" t="s">
        <v>105</v>
      </c>
      <c r="P169" s="8" t="s">
        <v>8</v>
      </c>
      <c r="R169" s="8">
        <v>0</v>
      </c>
      <c r="S169" s="8" t="s">
        <v>2147</v>
      </c>
      <c r="T169" s="8" t="s">
        <v>601</v>
      </c>
      <c r="U169" s="8" t="s">
        <v>598</v>
      </c>
      <c r="V169" s="8" t="s">
        <v>601</v>
      </c>
      <c r="W169" s="8" t="s">
        <v>598</v>
      </c>
    </row>
    <row r="170" spans="1:23" x14ac:dyDescent="0.25">
      <c r="A170" s="8">
        <v>172</v>
      </c>
      <c r="B170" s="5" t="s">
        <v>107</v>
      </c>
      <c r="C170" s="5">
        <v>172</v>
      </c>
      <c r="D170" s="5">
        <v>1</v>
      </c>
      <c r="E170" s="26">
        <v>43238</v>
      </c>
      <c r="F170" s="5" t="s">
        <v>602</v>
      </c>
      <c r="G170" s="8" t="s">
        <v>422</v>
      </c>
      <c r="H170" s="8" t="s">
        <v>49</v>
      </c>
      <c r="I170" s="8">
        <v>0</v>
      </c>
      <c r="J170" s="8" t="s">
        <v>55</v>
      </c>
      <c r="K170" s="8">
        <v>0</v>
      </c>
      <c r="L170" s="8" t="s">
        <v>603</v>
      </c>
      <c r="M170" s="21">
        <v>43102</v>
      </c>
      <c r="O170" s="8" t="s">
        <v>105</v>
      </c>
      <c r="P170" s="8" t="s">
        <v>8</v>
      </c>
      <c r="R170" s="8">
        <v>0</v>
      </c>
      <c r="S170" s="8" t="s">
        <v>2148</v>
      </c>
      <c r="T170" s="8" t="s">
        <v>604</v>
      </c>
      <c r="U170" s="8" t="s">
        <v>602</v>
      </c>
      <c r="V170" s="8" t="s">
        <v>604</v>
      </c>
      <c r="W170" s="8" t="s">
        <v>602</v>
      </c>
    </row>
    <row r="171" spans="1:23" x14ac:dyDescent="0.25">
      <c r="A171" s="8">
        <v>173</v>
      </c>
      <c r="B171" s="5" t="s">
        <v>107</v>
      </c>
      <c r="C171" s="5">
        <v>173</v>
      </c>
      <c r="D171" s="5">
        <v>1</v>
      </c>
      <c r="E171" s="26">
        <v>43238</v>
      </c>
      <c r="F171" s="5" t="s">
        <v>605</v>
      </c>
      <c r="G171" s="8" t="s">
        <v>422</v>
      </c>
      <c r="H171" s="8" t="s">
        <v>49</v>
      </c>
      <c r="I171" s="8">
        <v>0</v>
      </c>
      <c r="J171" s="8" t="s">
        <v>55</v>
      </c>
      <c r="K171" s="8">
        <v>0</v>
      </c>
      <c r="L171" s="8" t="s">
        <v>603</v>
      </c>
      <c r="M171" s="21">
        <v>43102</v>
      </c>
      <c r="O171" s="8" t="s">
        <v>105</v>
      </c>
      <c r="P171" s="8" t="s">
        <v>8</v>
      </c>
      <c r="R171" s="8">
        <v>0</v>
      </c>
      <c r="S171" s="8" t="s">
        <v>2149</v>
      </c>
      <c r="T171" s="8" t="s">
        <v>606</v>
      </c>
      <c r="U171" s="8" t="s">
        <v>605</v>
      </c>
      <c r="V171" s="8" t="s">
        <v>606</v>
      </c>
      <c r="W171" s="8" t="s">
        <v>605</v>
      </c>
    </row>
    <row r="172" spans="1:23" x14ac:dyDescent="0.25">
      <c r="A172" s="8">
        <v>174</v>
      </c>
      <c r="B172" s="5" t="s">
        <v>107</v>
      </c>
      <c r="C172" s="5">
        <v>174</v>
      </c>
      <c r="D172" s="5">
        <v>1</v>
      </c>
      <c r="E172" s="26">
        <v>43238</v>
      </c>
      <c r="F172" s="5" t="s">
        <v>607</v>
      </c>
      <c r="G172" s="8" t="s">
        <v>283</v>
      </c>
      <c r="H172" s="8" t="s">
        <v>49</v>
      </c>
      <c r="I172" s="8">
        <v>0</v>
      </c>
      <c r="J172" s="8" t="s">
        <v>55</v>
      </c>
      <c r="K172" s="8">
        <v>0</v>
      </c>
      <c r="L172" s="8" t="s">
        <v>608</v>
      </c>
      <c r="M172" s="21">
        <v>43102</v>
      </c>
      <c r="O172" s="8" t="s">
        <v>105</v>
      </c>
      <c r="P172" s="8" t="s">
        <v>8</v>
      </c>
      <c r="R172" s="8">
        <v>0</v>
      </c>
      <c r="S172" s="8" t="s">
        <v>2150</v>
      </c>
      <c r="T172" s="8" t="s">
        <v>609</v>
      </c>
      <c r="U172" s="8" t="s">
        <v>607</v>
      </c>
      <c r="V172" s="8" t="s">
        <v>609</v>
      </c>
      <c r="W172" s="8" t="s">
        <v>607</v>
      </c>
    </row>
    <row r="173" spans="1:23" x14ac:dyDescent="0.25">
      <c r="A173" s="8">
        <v>175</v>
      </c>
      <c r="B173" s="5" t="s">
        <v>107</v>
      </c>
      <c r="C173" s="5">
        <v>175</v>
      </c>
      <c r="D173" s="5">
        <v>1</v>
      </c>
      <c r="E173" s="26">
        <v>43238</v>
      </c>
      <c r="F173" s="5" t="s">
        <v>610</v>
      </c>
      <c r="G173" s="8" t="s">
        <v>133</v>
      </c>
      <c r="H173" s="8" t="s">
        <v>49</v>
      </c>
      <c r="I173" s="8">
        <v>0</v>
      </c>
      <c r="J173" s="8" t="s">
        <v>55</v>
      </c>
      <c r="K173" s="8">
        <v>0</v>
      </c>
      <c r="L173" s="8" t="s">
        <v>611</v>
      </c>
      <c r="M173" s="21">
        <v>43102</v>
      </c>
      <c r="O173" s="8" t="s">
        <v>105</v>
      </c>
      <c r="P173" s="8" t="s">
        <v>8</v>
      </c>
      <c r="R173" s="8">
        <v>0</v>
      </c>
      <c r="S173" s="8" t="s">
        <v>2151</v>
      </c>
      <c r="T173" s="8" t="s">
        <v>612</v>
      </c>
      <c r="U173" s="8" t="s">
        <v>610</v>
      </c>
      <c r="V173" s="8" t="s">
        <v>612</v>
      </c>
      <c r="W173" s="8" t="s">
        <v>610</v>
      </c>
    </row>
    <row r="174" spans="1:23" x14ac:dyDescent="0.25">
      <c r="A174" s="8">
        <v>176</v>
      </c>
      <c r="B174" s="5" t="s">
        <v>107</v>
      </c>
      <c r="C174" s="5">
        <v>176</v>
      </c>
      <c r="D174" s="5">
        <v>1</v>
      </c>
      <c r="E174" s="26">
        <v>43238</v>
      </c>
      <c r="F174" s="5" t="s">
        <v>613</v>
      </c>
      <c r="G174" s="8" t="s">
        <v>146</v>
      </c>
      <c r="H174" s="8" t="s">
        <v>49</v>
      </c>
      <c r="I174" s="8">
        <v>0</v>
      </c>
      <c r="J174" s="8" t="s">
        <v>55</v>
      </c>
      <c r="K174" s="8">
        <v>0</v>
      </c>
      <c r="L174" s="8" t="s">
        <v>614</v>
      </c>
      <c r="M174" s="21">
        <v>43102</v>
      </c>
      <c r="O174" s="8" t="s">
        <v>105</v>
      </c>
      <c r="P174" s="8" t="s">
        <v>8</v>
      </c>
      <c r="R174" s="8">
        <v>0</v>
      </c>
      <c r="S174" s="8" t="s">
        <v>2152</v>
      </c>
      <c r="T174" s="8" t="s">
        <v>615</v>
      </c>
      <c r="U174" s="8" t="s">
        <v>613</v>
      </c>
      <c r="V174" s="8" t="s">
        <v>615</v>
      </c>
      <c r="W174" s="8" t="s">
        <v>613</v>
      </c>
    </row>
    <row r="175" spans="1:23" x14ac:dyDescent="0.25">
      <c r="A175" s="8">
        <v>177</v>
      </c>
      <c r="B175" s="5" t="s">
        <v>107</v>
      </c>
      <c r="C175" s="5">
        <v>177</v>
      </c>
      <c r="D175" s="5">
        <v>1</v>
      </c>
      <c r="E175" s="26">
        <v>43238</v>
      </c>
      <c r="F175" s="5" t="s">
        <v>616</v>
      </c>
      <c r="G175" s="8" t="s">
        <v>133</v>
      </c>
      <c r="H175" s="8" t="s">
        <v>49</v>
      </c>
      <c r="I175" s="8">
        <v>0</v>
      </c>
      <c r="J175" s="8" t="s">
        <v>55</v>
      </c>
      <c r="K175" s="8">
        <v>0</v>
      </c>
      <c r="L175" s="8" t="s">
        <v>617</v>
      </c>
      <c r="M175" s="21">
        <v>43102</v>
      </c>
      <c r="O175" s="8" t="s">
        <v>105</v>
      </c>
      <c r="P175" s="8" t="s">
        <v>8</v>
      </c>
      <c r="R175" s="8">
        <v>0</v>
      </c>
      <c r="S175" s="8" t="s">
        <v>2153</v>
      </c>
      <c r="T175" s="8" t="s">
        <v>618</v>
      </c>
      <c r="U175" s="8" t="s">
        <v>616</v>
      </c>
      <c r="V175" s="8" t="s">
        <v>618</v>
      </c>
      <c r="W175" s="8" t="s">
        <v>616</v>
      </c>
    </row>
    <row r="176" spans="1:23" x14ac:dyDescent="0.25">
      <c r="A176" s="8">
        <v>178</v>
      </c>
      <c r="B176" s="5" t="s">
        <v>107</v>
      </c>
      <c r="C176" s="5">
        <v>178</v>
      </c>
      <c r="D176" s="5">
        <v>1</v>
      </c>
      <c r="E176" s="26">
        <v>43238</v>
      </c>
      <c r="F176" s="5" t="s">
        <v>619</v>
      </c>
      <c r="G176" s="8" t="s">
        <v>133</v>
      </c>
      <c r="H176" s="8" t="s">
        <v>49</v>
      </c>
      <c r="I176" s="8">
        <v>0</v>
      </c>
      <c r="J176" s="8" t="s">
        <v>55</v>
      </c>
      <c r="K176" s="8">
        <v>0</v>
      </c>
      <c r="L176" s="8" t="s">
        <v>617</v>
      </c>
      <c r="M176" s="21">
        <v>43102</v>
      </c>
      <c r="O176" s="8" t="s">
        <v>105</v>
      </c>
      <c r="P176" s="8" t="s">
        <v>8</v>
      </c>
      <c r="R176" s="8">
        <v>0</v>
      </c>
      <c r="S176" s="8" t="s">
        <v>2154</v>
      </c>
      <c r="T176" s="8" t="s">
        <v>620</v>
      </c>
      <c r="U176" s="8" t="s">
        <v>619</v>
      </c>
      <c r="V176" s="8" t="s">
        <v>620</v>
      </c>
      <c r="W176" s="8" t="s">
        <v>619</v>
      </c>
    </row>
    <row r="177" spans="1:23" x14ac:dyDescent="0.25">
      <c r="A177" s="8">
        <v>179</v>
      </c>
      <c r="B177" s="5" t="s">
        <v>107</v>
      </c>
      <c r="C177" s="5">
        <v>179</v>
      </c>
      <c r="D177" s="5">
        <v>1</v>
      </c>
      <c r="E177" s="26">
        <v>43238</v>
      </c>
      <c r="F177" s="5" t="s">
        <v>621</v>
      </c>
      <c r="G177" s="8" t="s">
        <v>199</v>
      </c>
      <c r="H177" s="8" t="s">
        <v>49</v>
      </c>
      <c r="I177" s="8">
        <v>0</v>
      </c>
      <c r="J177" s="8" t="s">
        <v>55</v>
      </c>
      <c r="K177" s="8">
        <v>0</v>
      </c>
      <c r="L177" s="8" t="s">
        <v>622</v>
      </c>
      <c r="M177" s="21">
        <v>43102</v>
      </c>
      <c r="O177" s="8" t="s">
        <v>105</v>
      </c>
      <c r="P177" s="8" t="s">
        <v>8</v>
      </c>
      <c r="R177" s="8">
        <v>0</v>
      </c>
      <c r="S177" s="8" t="s">
        <v>2155</v>
      </c>
      <c r="T177" s="8" t="s">
        <v>623</v>
      </c>
      <c r="U177" s="8" t="s">
        <v>621</v>
      </c>
      <c r="V177" s="8" t="s">
        <v>623</v>
      </c>
      <c r="W177" s="8" t="s">
        <v>621</v>
      </c>
    </row>
    <row r="178" spans="1:23" x14ac:dyDescent="0.25">
      <c r="A178" s="8">
        <v>180</v>
      </c>
      <c r="B178" s="5" t="s">
        <v>107</v>
      </c>
      <c r="C178" s="5">
        <v>180</v>
      </c>
      <c r="D178" s="5">
        <v>1</v>
      </c>
      <c r="E178" s="26">
        <v>43238</v>
      </c>
      <c r="F178" s="5" t="s">
        <v>624</v>
      </c>
      <c r="G178" s="8" t="s">
        <v>599</v>
      </c>
      <c r="H178" s="8" t="s">
        <v>49</v>
      </c>
      <c r="I178" s="8">
        <v>0</v>
      </c>
      <c r="J178" s="8" t="s">
        <v>55</v>
      </c>
      <c r="K178" s="8">
        <v>0</v>
      </c>
      <c r="L178" s="8" t="s">
        <v>625</v>
      </c>
      <c r="M178" s="21">
        <v>43102</v>
      </c>
      <c r="O178" s="8" t="s">
        <v>105</v>
      </c>
      <c r="P178" s="8" t="s">
        <v>8</v>
      </c>
      <c r="R178" s="8">
        <v>0</v>
      </c>
      <c r="S178" s="8" t="s">
        <v>2156</v>
      </c>
      <c r="T178" s="8" t="s">
        <v>626</v>
      </c>
      <c r="U178" s="8" t="s">
        <v>624</v>
      </c>
      <c r="V178" s="8" t="s">
        <v>626</v>
      </c>
      <c r="W178" s="8" t="s">
        <v>624</v>
      </c>
    </row>
    <row r="179" spans="1:23" x14ac:dyDescent="0.25">
      <c r="A179" s="8">
        <v>181</v>
      </c>
      <c r="B179" s="5" t="s">
        <v>107</v>
      </c>
      <c r="C179" s="5">
        <v>181</v>
      </c>
      <c r="D179" s="5">
        <v>1</v>
      </c>
      <c r="E179" s="26">
        <v>43238</v>
      </c>
      <c r="F179" s="5" t="s">
        <v>627</v>
      </c>
      <c r="G179" s="8" t="s">
        <v>199</v>
      </c>
      <c r="H179" s="8" t="s">
        <v>49</v>
      </c>
      <c r="I179" s="8">
        <v>0</v>
      </c>
      <c r="J179" s="8" t="s">
        <v>55</v>
      </c>
      <c r="K179" s="8">
        <v>0</v>
      </c>
      <c r="L179" s="8" t="s">
        <v>628</v>
      </c>
      <c r="M179" s="21">
        <v>43102</v>
      </c>
      <c r="O179" s="8" t="s">
        <v>105</v>
      </c>
      <c r="P179" s="8" t="s">
        <v>8</v>
      </c>
      <c r="R179" s="8">
        <v>0</v>
      </c>
      <c r="S179" s="8" t="s">
        <v>2157</v>
      </c>
      <c r="T179" s="8" t="s">
        <v>629</v>
      </c>
      <c r="U179" s="8" t="s">
        <v>627</v>
      </c>
      <c r="V179" s="8" t="s">
        <v>629</v>
      </c>
      <c r="W179" s="8" t="s">
        <v>627</v>
      </c>
    </row>
    <row r="180" spans="1:23" x14ac:dyDescent="0.25">
      <c r="A180" s="8">
        <v>182</v>
      </c>
      <c r="B180" s="5" t="s">
        <v>107</v>
      </c>
      <c r="C180" s="5">
        <v>182</v>
      </c>
      <c r="D180" s="5">
        <v>1</v>
      </c>
      <c r="E180" s="26">
        <v>43238</v>
      </c>
      <c r="F180" s="5" t="s">
        <v>630</v>
      </c>
      <c r="G180" s="8" t="s">
        <v>199</v>
      </c>
      <c r="H180" s="8" t="s">
        <v>49</v>
      </c>
      <c r="I180" s="8">
        <v>0</v>
      </c>
      <c r="J180" s="8" t="s">
        <v>55</v>
      </c>
      <c r="K180" s="8">
        <v>0</v>
      </c>
      <c r="L180" s="8" t="s">
        <v>631</v>
      </c>
      <c r="M180" s="21">
        <v>43102</v>
      </c>
      <c r="O180" s="8" t="s">
        <v>105</v>
      </c>
      <c r="P180" s="8" t="s">
        <v>8</v>
      </c>
      <c r="R180" s="8">
        <v>0</v>
      </c>
      <c r="S180" s="8" t="s">
        <v>2158</v>
      </c>
      <c r="T180" s="8" t="s">
        <v>632</v>
      </c>
      <c r="U180" s="8" t="s">
        <v>630</v>
      </c>
      <c r="V180" s="8" t="s">
        <v>632</v>
      </c>
      <c r="W180" s="8" t="s">
        <v>630</v>
      </c>
    </row>
    <row r="181" spans="1:23" x14ac:dyDescent="0.25">
      <c r="A181" s="8">
        <v>183</v>
      </c>
      <c r="B181" s="5" t="s">
        <v>107</v>
      </c>
      <c r="C181" s="5">
        <v>183</v>
      </c>
      <c r="D181" s="5">
        <v>1</v>
      </c>
      <c r="E181" s="26">
        <v>43238</v>
      </c>
      <c r="F181" s="5" t="s">
        <v>633</v>
      </c>
      <c r="G181" s="8" t="s">
        <v>224</v>
      </c>
      <c r="H181" s="8" t="s">
        <v>49</v>
      </c>
      <c r="I181" s="8">
        <v>0</v>
      </c>
      <c r="J181" s="8" t="s">
        <v>55</v>
      </c>
      <c r="K181" s="8">
        <v>0</v>
      </c>
      <c r="L181" s="8" t="s">
        <v>634</v>
      </c>
      <c r="M181" s="21">
        <v>43102</v>
      </c>
      <c r="O181" s="8" t="s">
        <v>105</v>
      </c>
      <c r="P181" s="8" t="s">
        <v>8</v>
      </c>
      <c r="R181" s="8">
        <v>0</v>
      </c>
      <c r="S181" s="8" t="s">
        <v>2159</v>
      </c>
      <c r="T181" s="8" t="s">
        <v>635</v>
      </c>
      <c r="U181" s="8" t="s">
        <v>633</v>
      </c>
      <c r="V181" s="8" t="s">
        <v>635</v>
      </c>
      <c r="W181" s="8" t="s">
        <v>633</v>
      </c>
    </row>
    <row r="182" spans="1:23" x14ac:dyDescent="0.25">
      <c r="A182" s="8">
        <v>184</v>
      </c>
      <c r="B182" s="5" t="s">
        <v>107</v>
      </c>
      <c r="C182" s="5">
        <v>184</v>
      </c>
      <c r="D182" s="5">
        <v>1</v>
      </c>
      <c r="E182" s="26">
        <v>43238</v>
      </c>
      <c r="F182" s="5" t="s">
        <v>636</v>
      </c>
      <c r="G182" s="8" t="s">
        <v>224</v>
      </c>
      <c r="H182" s="8" t="s">
        <v>49</v>
      </c>
      <c r="I182" s="8">
        <v>0</v>
      </c>
      <c r="J182" s="8" t="s">
        <v>55</v>
      </c>
      <c r="K182" s="8">
        <v>0</v>
      </c>
      <c r="L182" s="8" t="s">
        <v>634</v>
      </c>
      <c r="M182" s="21">
        <v>43102</v>
      </c>
      <c r="O182" s="8" t="s">
        <v>105</v>
      </c>
      <c r="P182" s="8" t="s">
        <v>8</v>
      </c>
      <c r="R182" s="8">
        <v>0</v>
      </c>
      <c r="S182" s="8" t="s">
        <v>2160</v>
      </c>
      <c r="T182" s="8" t="s">
        <v>637</v>
      </c>
      <c r="U182" s="8" t="s">
        <v>636</v>
      </c>
      <c r="V182" s="8" t="s">
        <v>637</v>
      </c>
      <c r="W182" s="8" t="s">
        <v>636</v>
      </c>
    </row>
    <row r="183" spans="1:23" x14ac:dyDescent="0.25">
      <c r="A183" s="8">
        <v>185</v>
      </c>
      <c r="B183" s="5" t="s">
        <v>107</v>
      </c>
      <c r="C183" s="5">
        <v>185</v>
      </c>
      <c r="D183" s="5">
        <v>1</v>
      </c>
      <c r="E183" s="26">
        <v>43238</v>
      </c>
      <c r="F183" s="5" t="s">
        <v>1978</v>
      </c>
      <c r="G183" s="8" t="s">
        <v>599</v>
      </c>
      <c r="H183" s="8" t="s">
        <v>49</v>
      </c>
      <c r="I183" s="8">
        <v>0</v>
      </c>
      <c r="J183" s="8" t="s">
        <v>55</v>
      </c>
      <c r="K183" s="8">
        <v>0</v>
      </c>
      <c r="L183" s="8" t="s">
        <v>1985</v>
      </c>
      <c r="M183" s="21">
        <v>43102</v>
      </c>
      <c r="O183" s="8" t="s">
        <v>105</v>
      </c>
      <c r="P183" s="8" t="s">
        <v>8</v>
      </c>
      <c r="R183" s="8">
        <v>0</v>
      </c>
      <c r="S183" s="8" t="s">
        <v>2161</v>
      </c>
      <c r="T183" s="8" t="s">
        <v>638</v>
      </c>
      <c r="U183" s="8" t="s">
        <v>1978</v>
      </c>
      <c r="V183" s="8" t="s">
        <v>638</v>
      </c>
      <c r="W183" s="8" t="s">
        <v>1978</v>
      </c>
    </row>
    <row r="184" spans="1:23" x14ac:dyDescent="0.25">
      <c r="A184" s="8">
        <v>186</v>
      </c>
      <c r="B184" s="5" t="s">
        <v>107</v>
      </c>
      <c r="C184" s="5">
        <v>186</v>
      </c>
      <c r="D184" s="5">
        <v>1</v>
      </c>
      <c r="E184" s="26">
        <v>43238</v>
      </c>
      <c r="F184" s="5" t="s">
        <v>639</v>
      </c>
      <c r="G184" s="8" t="s">
        <v>199</v>
      </c>
      <c r="H184" s="8" t="s">
        <v>49</v>
      </c>
      <c r="I184" s="8">
        <v>0</v>
      </c>
      <c r="J184" s="8" t="s">
        <v>55</v>
      </c>
      <c r="K184" s="8">
        <v>0</v>
      </c>
      <c r="L184" s="8" t="s">
        <v>640</v>
      </c>
      <c r="M184" s="21">
        <v>43102</v>
      </c>
      <c r="O184" s="8" t="s">
        <v>105</v>
      </c>
      <c r="P184" s="8" t="s">
        <v>8</v>
      </c>
      <c r="R184" s="8">
        <v>0</v>
      </c>
      <c r="S184" s="8" t="s">
        <v>2162</v>
      </c>
      <c r="T184" s="8" t="s">
        <v>641</v>
      </c>
      <c r="U184" s="8" t="s">
        <v>639</v>
      </c>
      <c r="V184" s="8" t="s">
        <v>641</v>
      </c>
      <c r="W184" s="8" t="s">
        <v>639</v>
      </c>
    </row>
    <row r="185" spans="1:23" x14ac:dyDescent="0.25">
      <c r="A185" s="8">
        <v>187</v>
      </c>
      <c r="B185" s="5" t="s">
        <v>107</v>
      </c>
      <c r="C185" s="5">
        <v>187</v>
      </c>
      <c r="D185" s="5">
        <v>1</v>
      </c>
      <c r="E185" s="26">
        <v>43238</v>
      </c>
      <c r="F185" s="5" t="s">
        <v>642</v>
      </c>
      <c r="G185" s="8" t="s">
        <v>392</v>
      </c>
      <c r="H185" s="8" t="s">
        <v>49</v>
      </c>
      <c r="I185" s="8">
        <v>0</v>
      </c>
      <c r="J185" s="8" t="s">
        <v>55</v>
      </c>
      <c r="K185" s="8">
        <v>0</v>
      </c>
      <c r="L185" s="8" t="s">
        <v>643</v>
      </c>
      <c r="M185" s="21">
        <v>43102</v>
      </c>
      <c r="O185" s="8" t="s">
        <v>105</v>
      </c>
      <c r="P185" s="8" t="s">
        <v>8</v>
      </c>
      <c r="R185" s="8">
        <v>0</v>
      </c>
      <c r="S185" s="8" t="s">
        <v>2163</v>
      </c>
      <c r="T185" s="8" t="s">
        <v>644</v>
      </c>
      <c r="U185" s="8" t="s">
        <v>642</v>
      </c>
      <c r="V185" s="8" t="s">
        <v>644</v>
      </c>
      <c r="W185" s="8" t="s">
        <v>642</v>
      </c>
    </row>
    <row r="186" spans="1:23" x14ac:dyDescent="0.25">
      <c r="A186" s="8">
        <v>188</v>
      </c>
      <c r="B186" s="5" t="s">
        <v>107</v>
      </c>
      <c r="C186" s="5">
        <v>188</v>
      </c>
      <c r="D186" s="5">
        <v>1</v>
      </c>
      <c r="E186" s="26">
        <v>43238</v>
      </c>
      <c r="F186" s="5" t="s">
        <v>645</v>
      </c>
      <c r="G186" s="8" t="s">
        <v>199</v>
      </c>
      <c r="H186" s="8" t="s">
        <v>49</v>
      </c>
      <c r="I186" s="8">
        <v>0</v>
      </c>
      <c r="J186" s="8" t="s">
        <v>55</v>
      </c>
      <c r="K186" s="8">
        <v>0</v>
      </c>
      <c r="L186" s="8" t="s">
        <v>646</v>
      </c>
      <c r="M186" s="21">
        <v>43102</v>
      </c>
      <c r="O186" s="8" t="s">
        <v>105</v>
      </c>
      <c r="P186" s="8" t="s">
        <v>8</v>
      </c>
      <c r="R186" s="8">
        <v>0</v>
      </c>
      <c r="S186" s="8" t="s">
        <v>2164</v>
      </c>
      <c r="T186" s="8" t="s">
        <v>647</v>
      </c>
      <c r="U186" s="8" t="s">
        <v>645</v>
      </c>
      <c r="V186" s="8" t="s">
        <v>647</v>
      </c>
      <c r="W186" s="8" t="s">
        <v>645</v>
      </c>
    </row>
    <row r="187" spans="1:23" x14ac:dyDescent="0.25">
      <c r="A187" s="8">
        <v>189</v>
      </c>
      <c r="B187" s="5" t="s">
        <v>107</v>
      </c>
      <c r="C187" s="5">
        <v>189</v>
      </c>
      <c r="D187" s="5">
        <v>1</v>
      </c>
      <c r="E187" s="26">
        <v>43238</v>
      </c>
      <c r="F187" s="5" t="s">
        <v>1979</v>
      </c>
      <c r="G187" s="8" t="s">
        <v>199</v>
      </c>
      <c r="H187" s="8" t="s">
        <v>49</v>
      </c>
      <c r="I187" s="8">
        <v>0</v>
      </c>
      <c r="J187" s="8" t="s">
        <v>55</v>
      </c>
      <c r="K187" s="8">
        <v>0</v>
      </c>
      <c r="L187" s="8" t="s">
        <v>1986</v>
      </c>
      <c r="M187" s="21">
        <v>43102</v>
      </c>
      <c r="O187" s="8" t="s">
        <v>105</v>
      </c>
      <c r="P187" s="8" t="s">
        <v>8</v>
      </c>
      <c r="R187" s="8">
        <v>0</v>
      </c>
      <c r="S187" s="8" t="s">
        <v>2165</v>
      </c>
      <c r="T187" s="8" t="s">
        <v>648</v>
      </c>
      <c r="U187" s="8" t="s">
        <v>1979</v>
      </c>
      <c r="V187" s="8" t="s">
        <v>648</v>
      </c>
      <c r="W187" s="8" t="s">
        <v>1979</v>
      </c>
    </row>
    <row r="188" spans="1:23" x14ac:dyDescent="0.25">
      <c r="A188" s="8">
        <v>190</v>
      </c>
      <c r="B188" s="5" t="s">
        <v>107</v>
      </c>
      <c r="C188" s="5">
        <v>190</v>
      </c>
      <c r="D188" s="5">
        <v>1</v>
      </c>
      <c r="E188" s="26">
        <v>43238</v>
      </c>
      <c r="F188" s="5" t="s">
        <v>649</v>
      </c>
      <c r="G188" s="8" t="s">
        <v>599</v>
      </c>
      <c r="H188" s="8" t="s">
        <v>49</v>
      </c>
      <c r="I188" s="8">
        <v>0</v>
      </c>
      <c r="J188" s="8" t="s">
        <v>55</v>
      </c>
      <c r="K188" s="8">
        <v>0</v>
      </c>
      <c r="L188" s="8" t="s">
        <v>650</v>
      </c>
      <c r="M188" s="21">
        <v>43102</v>
      </c>
      <c r="O188" s="8" t="s">
        <v>105</v>
      </c>
      <c r="P188" s="8" t="s">
        <v>8</v>
      </c>
      <c r="R188" s="8">
        <v>0</v>
      </c>
      <c r="S188" s="8" t="s">
        <v>2166</v>
      </c>
      <c r="T188" s="8" t="s">
        <v>651</v>
      </c>
      <c r="U188" s="8" t="s">
        <v>649</v>
      </c>
      <c r="V188" s="8" t="s">
        <v>651</v>
      </c>
      <c r="W188" s="8" t="s">
        <v>649</v>
      </c>
    </row>
    <row r="189" spans="1:23" x14ac:dyDescent="0.25">
      <c r="A189" s="8">
        <v>191</v>
      </c>
      <c r="B189" s="5" t="s">
        <v>107</v>
      </c>
      <c r="C189" s="5">
        <v>191</v>
      </c>
      <c r="D189" s="5">
        <v>1</v>
      </c>
      <c r="E189" s="26">
        <v>43238</v>
      </c>
      <c r="F189" s="5" t="s">
        <v>652</v>
      </c>
      <c r="G189" s="8" t="s">
        <v>653</v>
      </c>
      <c r="H189" s="8" t="s">
        <v>49</v>
      </c>
      <c r="I189" s="8">
        <v>0</v>
      </c>
      <c r="J189" s="8" t="s">
        <v>55</v>
      </c>
      <c r="K189" s="8">
        <v>0</v>
      </c>
      <c r="L189" s="8" t="s">
        <v>654</v>
      </c>
      <c r="M189" s="21">
        <v>43102</v>
      </c>
      <c r="O189" s="8" t="s">
        <v>105</v>
      </c>
      <c r="P189" s="8" t="s">
        <v>8</v>
      </c>
      <c r="R189" s="8">
        <v>0</v>
      </c>
      <c r="S189" s="8" t="s">
        <v>2167</v>
      </c>
      <c r="T189" s="8" t="s">
        <v>655</v>
      </c>
      <c r="U189" s="8" t="s">
        <v>652</v>
      </c>
      <c r="V189" s="8" t="s">
        <v>655</v>
      </c>
      <c r="W189" s="8" t="s">
        <v>652</v>
      </c>
    </row>
    <row r="190" spans="1:23" x14ac:dyDescent="0.25">
      <c r="A190" s="8">
        <v>192</v>
      </c>
      <c r="B190" s="5" t="s">
        <v>107</v>
      </c>
      <c r="C190" s="5">
        <v>192</v>
      </c>
      <c r="D190" s="5">
        <v>1</v>
      </c>
      <c r="E190" s="26">
        <v>43238</v>
      </c>
      <c r="F190" s="5" t="s">
        <v>656</v>
      </c>
      <c r="G190" s="8" t="s">
        <v>199</v>
      </c>
      <c r="H190" s="8" t="s">
        <v>49</v>
      </c>
      <c r="I190" s="8">
        <v>0</v>
      </c>
      <c r="J190" s="8" t="s">
        <v>55</v>
      </c>
      <c r="K190" s="8">
        <v>0</v>
      </c>
      <c r="L190" s="8" t="s">
        <v>657</v>
      </c>
      <c r="M190" s="21">
        <v>43102</v>
      </c>
      <c r="O190" s="8" t="s">
        <v>105</v>
      </c>
      <c r="P190" s="8" t="s">
        <v>8</v>
      </c>
      <c r="R190" s="8">
        <v>0</v>
      </c>
      <c r="S190" s="8" t="s">
        <v>2168</v>
      </c>
      <c r="T190" s="8" t="s">
        <v>658</v>
      </c>
      <c r="U190" s="8" t="s">
        <v>656</v>
      </c>
      <c r="V190" s="8" t="s">
        <v>658</v>
      </c>
      <c r="W190" s="8" t="s">
        <v>656</v>
      </c>
    </row>
    <row r="191" spans="1:23" x14ac:dyDescent="0.25">
      <c r="A191" s="8">
        <v>193</v>
      </c>
      <c r="B191" s="5" t="s">
        <v>107</v>
      </c>
      <c r="C191" s="5">
        <v>193</v>
      </c>
      <c r="D191" s="5">
        <v>1</v>
      </c>
      <c r="E191" s="26">
        <v>43238</v>
      </c>
      <c r="F191" s="5" t="s">
        <v>659</v>
      </c>
      <c r="G191" s="8" t="s">
        <v>199</v>
      </c>
      <c r="H191" s="8" t="s">
        <v>49</v>
      </c>
      <c r="I191" s="8">
        <v>0</v>
      </c>
      <c r="J191" s="8" t="s">
        <v>55</v>
      </c>
      <c r="K191" s="8">
        <v>0</v>
      </c>
      <c r="L191" s="8" t="s">
        <v>660</v>
      </c>
      <c r="M191" s="21">
        <v>43102</v>
      </c>
      <c r="O191" s="8" t="s">
        <v>105</v>
      </c>
      <c r="P191" s="8" t="s">
        <v>8</v>
      </c>
      <c r="R191" s="8">
        <v>0</v>
      </c>
      <c r="S191" s="8" t="s">
        <v>2169</v>
      </c>
      <c r="T191" s="8" t="s">
        <v>661</v>
      </c>
      <c r="U191" s="8" t="s">
        <v>659</v>
      </c>
      <c r="V191" s="8" t="s">
        <v>661</v>
      </c>
      <c r="W191" s="8" t="s">
        <v>659</v>
      </c>
    </row>
    <row r="192" spans="1:23" x14ac:dyDescent="0.25">
      <c r="A192" s="8">
        <v>194</v>
      </c>
      <c r="B192" s="5" t="s">
        <v>107</v>
      </c>
      <c r="C192" s="5">
        <v>194</v>
      </c>
      <c r="D192" s="5">
        <v>1</v>
      </c>
      <c r="E192" s="26">
        <v>43238</v>
      </c>
      <c r="F192" s="5" t="s">
        <v>662</v>
      </c>
      <c r="G192" s="8" t="s">
        <v>199</v>
      </c>
      <c r="H192" s="8" t="s">
        <v>49</v>
      </c>
      <c r="I192" s="8">
        <v>0</v>
      </c>
      <c r="J192" s="8" t="s">
        <v>55</v>
      </c>
      <c r="K192" s="8">
        <v>0</v>
      </c>
      <c r="L192" s="8" t="s">
        <v>663</v>
      </c>
      <c r="M192" s="21">
        <v>43102</v>
      </c>
      <c r="O192" s="8" t="s">
        <v>105</v>
      </c>
      <c r="P192" s="8" t="s">
        <v>8</v>
      </c>
      <c r="R192" s="8">
        <v>0</v>
      </c>
      <c r="S192" s="8" t="s">
        <v>2170</v>
      </c>
      <c r="T192" s="8" t="s">
        <v>664</v>
      </c>
      <c r="U192" s="8" t="s">
        <v>662</v>
      </c>
      <c r="V192" s="8" t="s">
        <v>664</v>
      </c>
      <c r="W192" s="8" t="s">
        <v>662</v>
      </c>
    </row>
    <row r="193" spans="1:23" x14ac:dyDescent="0.25">
      <c r="A193" s="8">
        <v>195</v>
      </c>
      <c r="B193" s="5" t="s">
        <v>107</v>
      </c>
      <c r="C193" s="5">
        <v>195</v>
      </c>
      <c r="D193" s="5">
        <v>1</v>
      </c>
      <c r="E193" s="26">
        <v>43238</v>
      </c>
      <c r="F193" s="5" t="s">
        <v>665</v>
      </c>
      <c r="G193" s="8" t="s">
        <v>199</v>
      </c>
      <c r="H193" s="8" t="s">
        <v>49</v>
      </c>
      <c r="I193" s="8">
        <v>0</v>
      </c>
      <c r="J193" s="8" t="s">
        <v>55</v>
      </c>
      <c r="K193" s="8">
        <v>0</v>
      </c>
      <c r="L193" s="8" t="s">
        <v>666</v>
      </c>
      <c r="M193" s="21">
        <v>43102</v>
      </c>
      <c r="O193" s="8" t="s">
        <v>105</v>
      </c>
      <c r="P193" s="8" t="s">
        <v>8</v>
      </c>
      <c r="R193" s="8">
        <v>0</v>
      </c>
      <c r="S193" s="8" t="s">
        <v>2171</v>
      </c>
      <c r="T193" s="8" t="s">
        <v>667</v>
      </c>
      <c r="U193" s="8" t="s">
        <v>665</v>
      </c>
      <c r="V193" s="8" t="s">
        <v>667</v>
      </c>
      <c r="W193" s="8" t="s">
        <v>665</v>
      </c>
    </row>
    <row r="194" spans="1:23" x14ac:dyDescent="0.25">
      <c r="A194" s="8">
        <v>196</v>
      </c>
      <c r="B194" s="5" t="s">
        <v>107</v>
      </c>
      <c r="C194" s="5">
        <v>196</v>
      </c>
      <c r="D194" s="5">
        <v>1</v>
      </c>
      <c r="E194" s="26">
        <v>43238</v>
      </c>
      <c r="F194" s="5" t="s">
        <v>668</v>
      </c>
      <c r="G194" s="8" t="s">
        <v>293</v>
      </c>
      <c r="H194" s="8" t="s">
        <v>49</v>
      </c>
      <c r="I194" s="8">
        <v>0</v>
      </c>
      <c r="J194" s="8" t="s">
        <v>55</v>
      </c>
      <c r="K194" s="8">
        <v>0</v>
      </c>
      <c r="L194" s="8" t="s">
        <v>669</v>
      </c>
      <c r="M194" s="21">
        <v>43102</v>
      </c>
      <c r="O194" s="8" t="s">
        <v>105</v>
      </c>
      <c r="P194" s="8" t="s">
        <v>8</v>
      </c>
      <c r="R194" s="8">
        <v>0</v>
      </c>
      <c r="S194" s="8" t="s">
        <v>2172</v>
      </c>
      <c r="T194" s="8" t="s">
        <v>670</v>
      </c>
      <c r="U194" s="8" t="s">
        <v>668</v>
      </c>
      <c r="V194" s="8" t="s">
        <v>670</v>
      </c>
      <c r="W194" s="8" t="s">
        <v>668</v>
      </c>
    </row>
    <row r="195" spans="1:23" x14ac:dyDescent="0.25">
      <c r="A195" s="8">
        <v>197</v>
      </c>
      <c r="B195" s="5" t="s">
        <v>107</v>
      </c>
      <c r="C195" s="5">
        <v>197</v>
      </c>
      <c r="D195" s="5">
        <v>1</v>
      </c>
      <c r="E195" s="26">
        <v>43238</v>
      </c>
      <c r="F195" s="5" t="s">
        <v>671</v>
      </c>
      <c r="G195" s="8" t="s">
        <v>293</v>
      </c>
      <c r="H195" s="8" t="s">
        <v>49</v>
      </c>
      <c r="I195" s="8">
        <v>0</v>
      </c>
      <c r="J195" s="8" t="s">
        <v>55</v>
      </c>
      <c r="K195" s="8">
        <v>0</v>
      </c>
      <c r="L195" s="8" t="s">
        <v>669</v>
      </c>
      <c r="M195" s="21">
        <v>43102</v>
      </c>
      <c r="O195" s="8" t="s">
        <v>105</v>
      </c>
      <c r="P195" s="8" t="s">
        <v>8</v>
      </c>
      <c r="R195" s="8">
        <v>0</v>
      </c>
      <c r="S195" s="8" t="s">
        <v>2173</v>
      </c>
      <c r="T195" s="8" t="s">
        <v>672</v>
      </c>
      <c r="U195" s="8" t="s">
        <v>671</v>
      </c>
      <c r="V195" s="8" t="s">
        <v>672</v>
      </c>
      <c r="W195" s="8" t="s">
        <v>671</v>
      </c>
    </row>
    <row r="196" spans="1:23" x14ac:dyDescent="0.25">
      <c r="A196" s="8">
        <v>198</v>
      </c>
      <c r="B196" s="5" t="s">
        <v>107</v>
      </c>
      <c r="C196" s="5">
        <v>198</v>
      </c>
      <c r="D196" s="5">
        <v>1</v>
      </c>
      <c r="E196" s="26">
        <v>43238</v>
      </c>
      <c r="F196" s="5" t="s">
        <v>119</v>
      </c>
      <c r="G196" s="8" t="s">
        <v>599</v>
      </c>
      <c r="H196" s="8" t="s">
        <v>49</v>
      </c>
      <c r="I196" s="8">
        <v>0</v>
      </c>
      <c r="J196" s="8" t="s">
        <v>55</v>
      </c>
      <c r="K196" s="8">
        <v>0</v>
      </c>
      <c r="L196" s="8" t="s">
        <v>673</v>
      </c>
      <c r="M196" s="21">
        <v>43102</v>
      </c>
      <c r="O196" s="8" t="s">
        <v>105</v>
      </c>
      <c r="P196" s="8" t="s">
        <v>8</v>
      </c>
      <c r="R196" s="8">
        <v>0</v>
      </c>
      <c r="S196" s="8" t="s">
        <v>2174</v>
      </c>
      <c r="T196" s="8" t="s">
        <v>674</v>
      </c>
      <c r="U196" s="8" t="s">
        <v>119</v>
      </c>
      <c r="V196" s="8" t="s">
        <v>674</v>
      </c>
      <c r="W196" s="8" t="s">
        <v>119</v>
      </c>
    </row>
    <row r="197" spans="1:23" x14ac:dyDescent="0.25">
      <c r="A197" s="8">
        <v>199</v>
      </c>
      <c r="B197" s="5" t="s">
        <v>107</v>
      </c>
      <c r="C197" s="5">
        <v>199</v>
      </c>
      <c r="D197" s="5">
        <v>1</v>
      </c>
      <c r="E197" s="26">
        <v>43238</v>
      </c>
      <c r="F197" s="5" t="s">
        <v>675</v>
      </c>
      <c r="G197" s="8" t="s">
        <v>599</v>
      </c>
      <c r="H197" s="8" t="s">
        <v>49</v>
      </c>
      <c r="I197" s="8">
        <v>0</v>
      </c>
      <c r="J197" s="8" t="s">
        <v>55</v>
      </c>
      <c r="K197" s="8">
        <v>0</v>
      </c>
      <c r="L197" s="8" t="s">
        <v>673</v>
      </c>
      <c r="M197" s="21">
        <v>43102</v>
      </c>
      <c r="O197" s="8" t="s">
        <v>105</v>
      </c>
      <c r="P197" s="8" t="s">
        <v>8</v>
      </c>
      <c r="R197" s="8">
        <v>0</v>
      </c>
      <c r="S197" s="8" t="s">
        <v>2175</v>
      </c>
      <c r="T197" s="8" t="s">
        <v>676</v>
      </c>
      <c r="U197" s="8" t="s">
        <v>675</v>
      </c>
      <c r="V197" s="8" t="s">
        <v>676</v>
      </c>
      <c r="W197" s="8" t="s">
        <v>675</v>
      </c>
    </row>
    <row r="198" spans="1:23" x14ac:dyDescent="0.25">
      <c r="A198" s="8">
        <v>200</v>
      </c>
      <c r="B198" s="5" t="s">
        <v>107</v>
      </c>
      <c r="C198" s="5">
        <v>200</v>
      </c>
      <c r="D198" s="5">
        <v>1</v>
      </c>
      <c r="E198" s="26">
        <v>43238</v>
      </c>
      <c r="F198" s="5" t="s">
        <v>677</v>
      </c>
      <c r="G198" s="8" t="s">
        <v>599</v>
      </c>
      <c r="H198" s="8" t="s">
        <v>49</v>
      </c>
      <c r="I198" s="8">
        <v>0</v>
      </c>
      <c r="J198" s="8" t="s">
        <v>55</v>
      </c>
      <c r="K198" s="8">
        <v>0</v>
      </c>
      <c r="L198" s="8" t="s">
        <v>673</v>
      </c>
      <c r="M198" s="21">
        <v>43102</v>
      </c>
      <c r="O198" s="8" t="s">
        <v>105</v>
      </c>
      <c r="P198" s="8" t="s">
        <v>8</v>
      </c>
      <c r="R198" s="8">
        <v>0</v>
      </c>
      <c r="S198" s="8" t="s">
        <v>2176</v>
      </c>
      <c r="T198" s="8" t="s">
        <v>678</v>
      </c>
      <c r="U198" s="8" t="s">
        <v>677</v>
      </c>
      <c r="V198" s="8" t="s">
        <v>678</v>
      </c>
      <c r="W198" s="8" t="s">
        <v>677</v>
      </c>
    </row>
    <row r="199" spans="1:23" x14ac:dyDescent="0.25">
      <c r="A199" s="8">
        <v>201</v>
      </c>
      <c r="B199" s="5" t="s">
        <v>107</v>
      </c>
      <c r="C199" s="5">
        <v>201</v>
      </c>
      <c r="D199" s="5">
        <v>1</v>
      </c>
      <c r="E199" s="26">
        <v>43238</v>
      </c>
      <c r="F199" s="5" t="s">
        <v>679</v>
      </c>
      <c r="G199" s="8" t="s">
        <v>146</v>
      </c>
      <c r="H199" s="8" t="s">
        <v>49</v>
      </c>
      <c r="I199" s="8">
        <v>0</v>
      </c>
      <c r="J199" s="8" t="s">
        <v>55</v>
      </c>
      <c r="K199" s="8">
        <v>0</v>
      </c>
      <c r="L199" s="8" t="s">
        <v>680</v>
      </c>
      <c r="M199" s="21">
        <v>43102</v>
      </c>
      <c r="O199" s="8" t="s">
        <v>105</v>
      </c>
      <c r="P199" s="8" t="s">
        <v>8</v>
      </c>
      <c r="R199" s="8">
        <v>0</v>
      </c>
      <c r="S199" s="8" t="s">
        <v>2177</v>
      </c>
      <c r="T199" s="8" t="s">
        <v>681</v>
      </c>
      <c r="U199" s="8" t="s">
        <v>679</v>
      </c>
      <c r="V199" s="8" t="s">
        <v>681</v>
      </c>
      <c r="W199" s="8" t="s">
        <v>679</v>
      </c>
    </row>
    <row r="200" spans="1:23" x14ac:dyDescent="0.25">
      <c r="A200" s="8">
        <v>202</v>
      </c>
      <c r="B200" s="5" t="s">
        <v>107</v>
      </c>
      <c r="C200" s="5">
        <v>202</v>
      </c>
      <c r="D200" s="5">
        <v>1</v>
      </c>
      <c r="E200" s="26">
        <v>43238</v>
      </c>
      <c r="F200" s="5" t="s">
        <v>682</v>
      </c>
      <c r="G200" s="8" t="s">
        <v>392</v>
      </c>
      <c r="H200" s="8" t="s">
        <v>49</v>
      </c>
      <c r="I200" s="8">
        <v>0</v>
      </c>
      <c r="J200" s="8" t="s">
        <v>55</v>
      </c>
      <c r="K200" s="8">
        <v>0</v>
      </c>
      <c r="L200" s="8" t="s">
        <v>683</v>
      </c>
      <c r="M200" s="21">
        <v>43102</v>
      </c>
      <c r="O200" s="8" t="s">
        <v>105</v>
      </c>
      <c r="P200" s="8" t="s">
        <v>8</v>
      </c>
      <c r="R200" s="8">
        <v>0</v>
      </c>
      <c r="S200" s="8" t="s">
        <v>2178</v>
      </c>
      <c r="T200" s="8" t="s">
        <v>684</v>
      </c>
      <c r="U200" s="8" t="s">
        <v>682</v>
      </c>
      <c r="V200" s="8" t="s">
        <v>684</v>
      </c>
      <c r="W200" s="8" t="s">
        <v>682</v>
      </c>
    </row>
    <row r="201" spans="1:23" x14ac:dyDescent="0.25">
      <c r="A201" s="8">
        <v>203</v>
      </c>
      <c r="B201" s="5" t="s">
        <v>107</v>
      </c>
      <c r="C201" s="5">
        <v>203</v>
      </c>
      <c r="D201" s="5">
        <v>1</v>
      </c>
      <c r="E201" s="26">
        <v>43238</v>
      </c>
      <c r="F201" s="5" t="s">
        <v>685</v>
      </c>
      <c r="G201" s="8" t="s">
        <v>686</v>
      </c>
      <c r="H201" s="8" t="s">
        <v>49</v>
      </c>
      <c r="I201" s="8">
        <v>0</v>
      </c>
      <c r="J201" s="8" t="s">
        <v>55</v>
      </c>
      <c r="K201" s="8">
        <v>0</v>
      </c>
      <c r="L201" s="8" t="s">
        <v>687</v>
      </c>
      <c r="M201" s="21">
        <v>43102</v>
      </c>
      <c r="O201" s="8" t="s">
        <v>105</v>
      </c>
      <c r="P201" s="8" t="s">
        <v>8</v>
      </c>
      <c r="R201" s="8">
        <v>0</v>
      </c>
      <c r="S201" s="8" t="s">
        <v>2179</v>
      </c>
      <c r="T201" s="8" t="s">
        <v>688</v>
      </c>
      <c r="U201" s="8" t="s">
        <v>685</v>
      </c>
      <c r="V201" s="8" t="s">
        <v>688</v>
      </c>
      <c r="W201" s="8" t="s">
        <v>685</v>
      </c>
    </row>
    <row r="202" spans="1:23" x14ac:dyDescent="0.25">
      <c r="A202" s="8">
        <v>204</v>
      </c>
      <c r="B202" s="5" t="s">
        <v>107</v>
      </c>
      <c r="C202" s="5">
        <v>204</v>
      </c>
      <c r="D202" s="5">
        <v>1</v>
      </c>
      <c r="E202" s="26">
        <v>43238</v>
      </c>
      <c r="F202" s="5" t="s">
        <v>689</v>
      </c>
      <c r="G202" s="8" t="s">
        <v>690</v>
      </c>
      <c r="H202" s="8" t="s">
        <v>49</v>
      </c>
      <c r="I202" s="8">
        <v>0</v>
      </c>
      <c r="J202" s="8" t="s">
        <v>55</v>
      </c>
      <c r="K202" s="8">
        <v>0</v>
      </c>
      <c r="L202" s="8" t="s">
        <v>691</v>
      </c>
      <c r="M202" s="21">
        <v>43102</v>
      </c>
      <c r="O202" s="8" t="s">
        <v>105</v>
      </c>
      <c r="P202" s="8" t="s">
        <v>8</v>
      </c>
      <c r="R202" s="8">
        <v>0</v>
      </c>
      <c r="S202" s="8" t="s">
        <v>2180</v>
      </c>
      <c r="T202" s="8" t="s">
        <v>692</v>
      </c>
      <c r="U202" s="8" t="s">
        <v>689</v>
      </c>
      <c r="V202" s="8" t="s">
        <v>692</v>
      </c>
      <c r="W202" s="8" t="s">
        <v>689</v>
      </c>
    </row>
    <row r="203" spans="1:23" x14ac:dyDescent="0.25">
      <c r="A203" s="8">
        <v>205</v>
      </c>
      <c r="B203" s="5" t="s">
        <v>107</v>
      </c>
      <c r="C203" s="5">
        <v>205</v>
      </c>
      <c r="D203" s="5">
        <v>1</v>
      </c>
      <c r="E203" s="26">
        <v>43238</v>
      </c>
      <c r="F203" s="5" t="s">
        <v>693</v>
      </c>
      <c r="G203" s="8" t="s">
        <v>199</v>
      </c>
      <c r="H203" s="8" t="s">
        <v>49</v>
      </c>
      <c r="I203" s="8">
        <v>0</v>
      </c>
      <c r="J203" s="8" t="s">
        <v>55</v>
      </c>
      <c r="K203" s="8">
        <v>0</v>
      </c>
      <c r="L203" s="8" t="s">
        <v>694</v>
      </c>
      <c r="M203" s="21">
        <v>43102</v>
      </c>
      <c r="O203" s="8" t="s">
        <v>105</v>
      </c>
      <c r="P203" s="8" t="s">
        <v>8</v>
      </c>
      <c r="R203" s="8">
        <v>0</v>
      </c>
      <c r="S203" s="8" t="s">
        <v>2181</v>
      </c>
      <c r="T203" s="8" t="s">
        <v>695</v>
      </c>
      <c r="U203" s="8" t="s">
        <v>693</v>
      </c>
      <c r="V203" s="8" t="s">
        <v>695</v>
      </c>
      <c r="W203" s="8" t="s">
        <v>693</v>
      </c>
    </row>
    <row r="204" spans="1:23" x14ac:dyDescent="0.25">
      <c r="A204" s="8">
        <v>206</v>
      </c>
      <c r="B204" s="5" t="s">
        <v>107</v>
      </c>
      <c r="C204" s="5">
        <v>206</v>
      </c>
      <c r="D204" s="5">
        <v>1</v>
      </c>
      <c r="E204" s="26">
        <v>43238</v>
      </c>
      <c r="F204" s="5" t="s">
        <v>696</v>
      </c>
      <c r="G204" s="8" t="s">
        <v>697</v>
      </c>
      <c r="H204" s="8" t="s">
        <v>49</v>
      </c>
      <c r="I204" s="8">
        <v>0</v>
      </c>
      <c r="J204" s="8" t="s">
        <v>55</v>
      </c>
      <c r="K204" s="8">
        <v>0</v>
      </c>
      <c r="L204" s="8" t="s">
        <v>698</v>
      </c>
      <c r="M204" s="21">
        <v>43102</v>
      </c>
      <c r="O204" s="8" t="s">
        <v>105</v>
      </c>
      <c r="P204" s="8" t="s">
        <v>8</v>
      </c>
      <c r="R204" s="8">
        <v>0</v>
      </c>
      <c r="S204" s="8" t="s">
        <v>2182</v>
      </c>
      <c r="T204" s="8" t="s">
        <v>699</v>
      </c>
      <c r="U204" s="8" t="s">
        <v>696</v>
      </c>
      <c r="V204" s="8" t="s">
        <v>699</v>
      </c>
      <c r="W204" s="8" t="s">
        <v>696</v>
      </c>
    </row>
    <row r="205" spans="1:23" x14ac:dyDescent="0.25">
      <c r="A205" s="8">
        <v>207</v>
      </c>
      <c r="B205" s="5" t="s">
        <v>107</v>
      </c>
      <c r="C205" s="5">
        <v>207</v>
      </c>
      <c r="D205" s="5">
        <v>1</v>
      </c>
      <c r="E205" s="26">
        <v>43238</v>
      </c>
      <c r="F205" s="5" t="s">
        <v>700</v>
      </c>
      <c r="G205" s="8" t="s">
        <v>697</v>
      </c>
      <c r="H205" s="8" t="s">
        <v>49</v>
      </c>
      <c r="I205" s="8">
        <v>0</v>
      </c>
      <c r="J205" s="8" t="s">
        <v>55</v>
      </c>
      <c r="K205" s="8">
        <v>0</v>
      </c>
      <c r="L205" s="8" t="s">
        <v>698</v>
      </c>
      <c r="M205" s="21">
        <v>43102</v>
      </c>
      <c r="O205" s="8" t="s">
        <v>105</v>
      </c>
      <c r="P205" s="8" t="s">
        <v>8</v>
      </c>
      <c r="R205" s="8">
        <v>0</v>
      </c>
      <c r="S205" s="8" t="s">
        <v>2183</v>
      </c>
      <c r="T205" s="8" t="s">
        <v>701</v>
      </c>
      <c r="U205" s="8" t="s">
        <v>700</v>
      </c>
      <c r="V205" s="8" t="s">
        <v>701</v>
      </c>
      <c r="W205" s="8" t="s">
        <v>700</v>
      </c>
    </row>
    <row r="206" spans="1:23" x14ac:dyDescent="0.25">
      <c r="A206" s="8">
        <v>208</v>
      </c>
      <c r="B206" s="5" t="s">
        <v>107</v>
      </c>
      <c r="C206" s="5">
        <v>208</v>
      </c>
      <c r="D206" s="5">
        <v>1</v>
      </c>
      <c r="E206" s="26">
        <v>43238</v>
      </c>
      <c r="F206" s="5" t="s">
        <v>702</v>
      </c>
      <c r="G206" s="8" t="s">
        <v>686</v>
      </c>
      <c r="H206" s="8" t="s">
        <v>49</v>
      </c>
      <c r="I206" s="8">
        <v>0</v>
      </c>
      <c r="J206" s="8" t="s">
        <v>55</v>
      </c>
      <c r="K206" s="8">
        <v>0</v>
      </c>
      <c r="L206" s="8" t="s">
        <v>703</v>
      </c>
      <c r="M206" s="21">
        <v>43102</v>
      </c>
      <c r="O206" s="8" t="s">
        <v>105</v>
      </c>
      <c r="P206" s="8" t="s">
        <v>8</v>
      </c>
      <c r="R206" s="8">
        <v>0</v>
      </c>
      <c r="S206" s="8" t="s">
        <v>2184</v>
      </c>
      <c r="T206" s="8" t="s">
        <v>704</v>
      </c>
      <c r="U206" s="8" t="s">
        <v>702</v>
      </c>
      <c r="V206" s="8" t="s">
        <v>704</v>
      </c>
      <c r="W206" s="8" t="s">
        <v>702</v>
      </c>
    </row>
    <row r="207" spans="1:23" x14ac:dyDescent="0.25">
      <c r="A207" s="8">
        <v>209</v>
      </c>
      <c r="B207" s="5" t="s">
        <v>107</v>
      </c>
      <c r="C207" s="5">
        <v>209</v>
      </c>
      <c r="D207" s="5">
        <v>1</v>
      </c>
      <c r="E207" s="26">
        <v>43238</v>
      </c>
      <c r="F207" s="5" t="s">
        <v>705</v>
      </c>
      <c r="G207" s="8" t="s">
        <v>686</v>
      </c>
      <c r="H207" s="8" t="s">
        <v>49</v>
      </c>
      <c r="I207" s="8">
        <v>0</v>
      </c>
      <c r="J207" s="8" t="s">
        <v>55</v>
      </c>
      <c r="K207" s="8">
        <v>0</v>
      </c>
      <c r="L207" s="8" t="s">
        <v>706</v>
      </c>
      <c r="M207" s="21">
        <v>43102</v>
      </c>
      <c r="O207" s="8" t="s">
        <v>105</v>
      </c>
      <c r="P207" s="8" t="s">
        <v>8</v>
      </c>
      <c r="R207" s="8">
        <v>0</v>
      </c>
      <c r="S207" s="8" t="s">
        <v>2185</v>
      </c>
      <c r="T207" s="8" t="s">
        <v>707</v>
      </c>
      <c r="U207" s="8" t="s">
        <v>705</v>
      </c>
      <c r="V207" s="8" t="s">
        <v>707</v>
      </c>
      <c r="W207" s="8" t="s">
        <v>705</v>
      </c>
    </row>
    <row r="208" spans="1:23" x14ac:dyDescent="0.25">
      <c r="A208" s="8">
        <v>210</v>
      </c>
      <c r="B208" s="5" t="s">
        <v>107</v>
      </c>
      <c r="C208" s="5">
        <v>210</v>
      </c>
      <c r="D208" s="5">
        <v>1</v>
      </c>
      <c r="E208" s="26">
        <v>43238</v>
      </c>
      <c r="F208" s="5" t="s">
        <v>2234</v>
      </c>
      <c r="G208" s="8" t="s">
        <v>289</v>
      </c>
      <c r="H208" s="8" t="s">
        <v>49</v>
      </c>
      <c r="I208" s="8">
        <v>0</v>
      </c>
      <c r="J208" s="8" t="s">
        <v>55</v>
      </c>
      <c r="K208" s="8">
        <v>0</v>
      </c>
      <c r="L208" s="8" t="s">
        <v>2235</v>
      </c>
      <c r="M208" s="21">
        <v>43102</v>
      </c>
      <c r="O208" s="8" t="s">
        <v>105</v>
      </c>
      <c r="P208" s="8" t="s">
        <v>8</v>
      </c>
      <c r="R208" s="8">
        <v>0</v>
      </c>
      <c r="S208" s="8" t="s">
        <v>2236</v>
      </c>
      <c r="T208" s="8" t="s">
        <v>708</v>
      </c>
      <c r="U208" s="8" t="s">
        <v>2234</v>
      </c>
      <c r="V208" s="8" t="s">
        <v>708</v>
      </c>
      <c r="W208" s="8" t="s">
        <v>2234</v>
      </c>
    </row>
    <row r="209" spans="1:23" x14ac:dyDescent="0.25">
      <c r="A209" s="8">
        <v>211</v>
      </c>
      <c r="B209" s="5" t="s">
        <v>107</v>
      </c>
      <c r="C209" s="5">
        <v>211</v>
      </c>
      <c r="D209" s="5">
        <v>1</v>
      </c>
      <c r="E209" s="26">
        <v>43238</v>
      </c>
      <c r="F209" s="5" t="s">
        <v>709</v>
      </c>
      <c r="G209" s="8" t="s">
        <v>289</v>
      </c>
      <c r="H209" s="8" t="s">
        <v>49</v>
      </c>
      <c r="I209" s="8">
        <v>0</v>
      </c>
      <c r="J209" s="8" t="s">
        <v>55</v>
      </c>
      <c r="K209" s="8">
        <v>0</v>
      </c>
      <c r="L209" s="8" t="s">
        <v>710</v>
      </c>
      <c r="M209" s="21">
        <v>43102</v>
      </c>
      <c r="O209" s="8" t="s">
        <v>105</v>
      </c>
      <c r="P209" s="8" t="s">
        <v>8</v>
      </c>
      <c r="R209" s="8">
        <v>0</v>
      </c>
      <c r="S209" s="8" t="s">
        <v>2186</v>
      </c>
      <c r="T209" s="8" t="s">
        <v>711</v>
      </c>
      <c r="U209" s="8" t="s">
        <v>709</v>
      </c>
      <c r="V209" s="8" t="s">
        <v>711</v>
      </c>
      <c r="W209" s="8" t="s">
        <v>709</v>
      </c>
    </row>
    <row r="210" spans="1:23" x14ac:dyDescent="0.25">
      <c r="A210" s="8">
        <v>212</v>
      </c>
      <c r="B210" s="5" t="s">
        <v>107</v>
      </c>
      <c r="C210" s="5">
        <v>212</v>
      </c>
      <c r="D210" s="5">
        <v>1</v>
      </c>
      <c r="E210" s="26">
        <v>43238</v>
      </c>
      <c r="F210" s="5" t="s">
        <v>712</v>
      </c>
      <c r="G210" s="8" t="s">
        <v>713</v>
      </c>
      <c r="H210" s="8" t="s">
        <v>49</v>
      </c>
      <c r="I210" s="8">
        <v>0</v>
      </c>
      <c r="J210" s="8" t="s">
        <v>55</v>
      </c>
      <c r="K210" s="8">
        <v>0</v>
      </c>
      <c r="L210" s="8" t="s">
        <v>714</v>
      </c>
      <c r="M210" s="21">
        <v>43102</v>
      </c>
      <c r="O210" s="8" t="s">
        <v>105</v>
      </c>
      <c r="P210" s="8" t="s">
        <v>8</v>
      </c>
      <c r="R210" s="8">
        <v>0</v>
      </c>
      <c r="S210" s="8" t="s">
        <v>2187</v>
      </c>
      <c r="T210" s="8" t="s">
        <v>715</v>
      </c>
      <c r="U210" s="8" t="s">
        <v>712</v>
      </c>
      <c r="V210" s="8" t="s">
        <v>715</v>
      </c>
      <c r="W210" s="8" t="s">
        <v>712</v>
      </c>
    </row>
    <row r="211" spans="1:23" x14ac:dyDescent="0.25">
      <c r="A211" s="8">
        <v>213</v>
      </c>
      <c r="B211" s="5" t="s">
        <v>107</v>
      </c>
      <c r="C211" s="5">
        <v>213</v>
      </c>
      <c r="D211" s="5">
        <v>1</v>
      </c>
      <c r="E211" s="26">
        <v>43238</v>
      </c>
      <c r="F211" s="5" t="s">
        <v>716</v>
      </c>
      <c r="G211" s="8" t="s">
        <v>289</v>
      </c>
      <c r="H211" s="8" t="s">
        <v>49</v>
      </c>
      <c r="I211" s="8">
        <v>0</v>
      </c>
      <c r="J211" s="8" t="s">
        <v>55</v>
      </c>
      <c r="K211" s="8">
        <v>0</v>
      </c>
      <c r="L211" s="8" t="s">
        <v>717</v>
      </c>
      <c r="M211" s="21">
        <v>43102</v>
      </c>
      <c r="O211" s="8" t="s">
        <v>105</v>
      </c>
      <c r="P211" s="8" t="s">
        <v>8</v>
      </c>
      <c r="R211" s="8">
        <v>0</v>
      </c>
      <c r="S211" s="8" t="s">
        <v>2188</v>
      </c>
      <c r="T211" s="8" t="s">
        <v>718</v>
      </c>
      <c r="U211" s="8" t="s">
        <v>716</v>
      </c>
      <c r="V211" s="8" t="s">
        <v>718</v>
      </c>
      <c r="W211" s="8" t="s">
        <v>716</v>
      </c>
    </row>
    <row r="212" spans="1:23" x14ac:dyDescent="0.25">
      <c r="A212" s="8">
        <v>214</v>
      </c>
      <c r="B212" s="5" t="s">
        <v>107</v>
      </c>
      <c r="C212" s="5">
        <v>214</v>
      </c>
      <c r="D212" s="5">
        <v>1</v>
      </c>
      <c r="E212" s="26">
        <v>43238</v>
      </c>
      <c r="F212" s="5" t="s">
        <v>719</v>
      </c>
      <c r="G212" s="8" t="s">
        <v>224</v>
      </c>
      <c r="H212" s="8" t="s">
        <v>49</v>
      </c>
      <c r="I212" s="8">
        <v>0</v>
      </c>
      <c r="J212" s="8" t="s">
        <v>55</v>
      </c>
      <c r="K212" s="8">
        <v>0</v>
      </c>
      <c r="L212" s="8" t="s">
        <v>720</v>
      </c>
      <c r="M212" s="21">
        <v>43102</v>
      </c>
      <c r="O212" s="8" t="s">
        <v>105</v>
      </c>
      <c r="P212" s="8" t="s">
        <v>8</v>
      </c>
      <c r="R212" s="8">
        <v>0</v>
      </c>
      <c r="S212" s="8" t="s">
        <v>2189</v>
      </c>
      <c r="T212" s="8" t="s">
        <v>721</v>
      </c>
      <c r="U212" s="8" t="s">
        <v>719</v>
      </c>
      <c r="V212" s="8" t="s">
        <v>721</v>
      </c>
      <c r="W212" s="8" t="s">
        <v>719</v>
      </c>
    </row>
    <row r="213" spans="1:23" x14ac:dyDescent="0.25">
      <c r="A213" s="8">
        <v>215</v>
      </c>
      <c r="B213" s="5" t="s">
        <v>107</v>
      </c>
      <c r="C213" s="5">
        <v>215</v>
      </c>
      <c r="D213" s="5">
        <v>1</v>
      </c>
      <c r="E213" s="26">
        <v>43238</v>
      </c>
      <c r="F213" s="5" t="s">
        <v>722</v>
      </c>
      <c r="G213" s="8" t="s">
        <v>289</v>
      </c>
      <c r="H213" s="8" t="s">
        <v>49</v>
      </c>
      <c r="I213" s="8">
        <v>0</v>
      </c>
      <c r="J213" s="8" t="s">
        <v>55</v>
      </c>
      <c r="K213" s="8">
        <v>0</v>
      </c>
      <c r="L213" s="8" t="s">
        <v>723</v>
      </c>
      <c r="M213" s="21">
        <v>43102</v>
      </c>
      <c r="O213" s="8" t="s">
        <v>105</v>
      </c>
      <c r="P213" s="8" t="s">
        <v>8</v>
      </c>
      <c r="R213" s="8">
        <v>0</v>
      </c>
      <c r="S213" s="8" t="s">
        <v>2190</v>
      </c>
      <c r="T213" s="8" t="s">
        <v>724</v>
      </c>
      <c r="U213" s="8" t="s">
        <v>722</v>
      </c>
      <c r="V213" s="8" t="s">
        <v>724</v>
      </c>
      <c r="W213" s="8" t="s">
        <v>722</v>
      </c>
    </row>
    <row r="214" spans="1:23" x14ac:dyDescent="0.25">
      <c r="A214" s="8">
        <v>216</v>
      </c>
      <c r="B214" s="5" t="s">
        <v>107</v>
      </c>
      <c r="C214" s="5">
        <v>216</v>
      </c>
      <c r="D214" s="5">
        <v>1</v>
      </c>
      <c r="E214" s="26">
        <v>43238</v>
      </c>
      <c r="F214" s="5" t="s">
        <v>725</v>
      </c>
      <c r="G214" s="8" t="s">
        <v>293</v>
      </c>
      <c r="H214" s="8" t="s">
        <v>49</v>
      </c>
      <c r="I214" s="8">
        <v>0</v>
      </c>
      <c r="J214" s="8" t="s">
        <v>55</v>
      </c>
      <c r="K214" s="8">
        <v>0</v>
      </c>
      <c r="L214" s="8" t="s">
        <v>726</v>
      </c>
      <c r="M214" s="21">
        <v>43102</v>
      </c>
      <c r="O214" s="8" t="s">
        <v>105</v>
      </c>
      <c r="P214" s="8" t="s">
        <v>8</v>
      </c>
      <c r="R214" s="8">
        <v>0</v>
      </c>
      <c r="S214" s="8" t="s">
        <v>2191</v>
      </c>
      <c r="T214" s="8" t="s">
        <v>727</v>
      </c>
      <c r="U214" s="8" t="s">
        <v>725</v>
      </c>
      <c r="V214" s="8" t="s">
        <v>727</v>
      </c>
      <c r="W214" s="8" t="s">
        <v>725</v>
      </c>
    </row>
    <row r="215" spans="1:23" x14ac:dyDescent="0.25">
      <c r="A215" s="8">
        <v>217</v>
      </c>
      <c r="B215" s="5" t="s">
        <v>107</v>
      </c>
      <c r="C215" s="5">
        <v>217</v>
      </c>
      <c r="D215" s="5">
        <v>1</v>
      </c>
      <c r="E215" s="26">
        <v>43238</v>
      </c>
      <c r="F215" s="5" t="s">
        <v>728</v>
      </c>
      <c r="G215" s="8" t="s">
        <v>293</v>
      </c>
      <c r="H215" s="8" t="s">
        <v>49</v>
      </c>
      <c r="I215" s="8">
        <v>0</v>
      </c>
      <c r="J215" s="8" t="s">
        <v>55</v>
      </c>
      <c r="K215" s="8">
        <v>0</v>
      </c>
      <c r="L215" s="8" t="s">
        <v>729</v>
      </c>
      <c r="M215" s="21">
        <v>43102</v>
      </c>
      <c r="O215" s="8" t="s">
        <v>105</v>
      </c>
      <c r="P215" s="8" t="s">
        <v>8</v>
      </c>
      <c r="R215" s="8">
        <v>0</v>
      </c>
      <c r="S215" s="8" t="s">
        <v>2192</v>
      </c>
      <c r="T215" s="8" t="s">
        <v>730</v>
      </c>
      <c r="U215" s="8" t="s">
        <v>728</v>
      </c>
      <c r="V215" s="8" t="s">
        <v>730</v>
      </c>
      <c r="W215" s="8" t="s">
        <v>728</v>
      </c>
    </row>
    <row r="216" spans="1:23" x14ac:dyDescent="0.25">
      <c r="A216" s="8">
        <v>218</v>
      </c>
      <c r="B216" s="5" t="s">
        <v>107</v>
      </c>
      <c r="C216" s="5">
        <v>218</v>
      </c>
      <c r="D216" s="5">
        <v>1</v>
      </c>
      <c r="E216" s="26">
        <v>43238</v>
      </c>
      <c r="F216" s="5" t="s">
        <v>731</v>
      </c>
      <c r="G216" s="8" t="s">
        <v>348</v>
      </c>
      <c r="H216" s="8" t="s">
        <v>49</v>
      </c>
      <c r="I216" s="8">
        <v>0</v>
      </c>
      <c r="J216" s="8" t="s">
        <v>55</v>
      </c>
      <c r="K216" s="8">
        <v>0</v>
      </c>
      <c r="L216" s="8" t="s">
        <v>732</v>
      </c>
      <c r="M216" s="21">
        <v>43102</v>
      </c>
      <c r="O216" s="8" t="s">
        <v>105</v>
      </c>
      <c r="P216" s="8" t="s">
        <v>8</v>
      </c>
      <c r="R216" s="8">
        <v>0</v>
      </c>
      <c r="S216" s="8" t="s">
        <v>2193</v>
      </c>
      <c r="T216" s="8" t="s">
        <v>733</v>
      </c>
      <c r="U216" s="8" t="s">
        <v>731</v>
      </c>
      <c r="V216" s="8" t="s">
        <v>733</v>
      </c>
      <c r="W216" s="8" t="s">
        <v>731</v>
      </c>
    </row>
    <row r="217" spans="1:23" x14ac:dyDescent="0.25">
      <c r="A217" s="8">
        <v>219</v>
      </c>
      <c r="B217" s="5" t="s">
        <v>107</v>
      </c>
      <c r="C217" s="5">
        <v>219</v>
      </c>
      <c r="D217" s="5">
        <v>1</v>
      </c>
      <c r="E217" s="26">
        <v>43238</v>
      </c>
      <c r="F217" s="5" t="s">
        <v>734</v>
      </c>
      <c r="G217" s="8" t="s">
        <v>516</v>
      </c>
      <c r="H217" s="8" t="s">
        <v>49</v>
      </c>
      <c r="I217" s="8">
        <v>0</v>
      </c>
      <c r="J217" s="8" t="s">
        <v>55</v>
      </c>
      <c r="K217" s="8">
        <v>0</v>
      </c>
      <c r="L217" s="8" t="s">
        <v>735</v>
      </c>
      <c r="M217" s="21">
        <v>43102</v>
      </c>
      <c r="O217" s="8" t="s">
        <v>105</v>
      </c>
      <c r="P217" s="8" t="s">
        <v>8</v>
      </c>
      <c r="R217" s="8">
        <v>0</v>
      </c>
      <c r="S217" s="8" t="s">
        <v>2194</v>
      </c>
      <c r="T217" s="8" t="s">
        <v>736</v>
      </c>
      <c r="U217" s="8" t="s">
        <v>734</v>
      </c>
      <c r="V217" s="8" t="s">
        <v>736</v>
      </c>
      <c r="W217" s="8" t="s">
        <v>734</v>
      </c>
    </row>
    <row r="218" spans="1:23" x14ac:dyDescent="0.25">
      <c r="A218" s="8">
        <v>220</v>
      </c>
      <c r="B218" s="5" t="s">
        <v>107</v>
      </c>
      <c r="C218" s="5">
        <v>220</v>
      </c>
      <c r="D218" s="5">
        <v>1</v>
      </c>
      <c r="E218" s="26">
        <v>43238</v>
      </c>
      <c r="F218" s="5" t="s">
        <v>737</v>
      </c>
      <c r="G218" s="8" t="s">
        <v>516</v>
      </c>
      <c r="H218" s="8" t="s">
        <v>49</v>
      </c>
      <c r="I218" s="8">
        <v>0</v>
      </c>
      <c r="J218" s="8" t="s">
        <v>55</v>
      </c>
      <c r="K218" s="8">
        <v>0</v>
      </c>
      <c r="L218" s="8" t="s">
        <v>738</v>
      </c>
      <c r="M218" s="21">
        <v>43102</v>
      </c>
      <c r="O218" s="8" t="s">
        <v>105</v>
      </c>
      <c r="P218" s="8" t="s">
        <v>8</v>
      </c>
      <c r="R218" s="8">
        <v>0</v>
      </c>
      <c r="S218" s="8" t="s">
        <v>2195</v>
      </c>
      <c r="T218" s="8" t="s">
        <v>739</v>
      </c>
      <c r="U218" s="8" t="s">
        <v>737</v>
      </c>
      <c r="V218" s="8" t="s">
        <v>739</v>
      </c>
      <c r="W218" s="8" t="s">
        <v>737</v>
      </c>
    </row>
    <row r="219" spans="1:23" x14ac:dyDescent="0.25">
      <c r="A219" s="8">
        <v>221</v>
      </c>
      <c r="B219" s="5" t="s">
        <v>107</v>
      </c>
      <c r="C219" s="5">
        <v>221</v>
      </c>
      <c r="D219" s="5">
        <v>1</v>
      </c>
      <c r="E219" s="26">
        <v>43238</v>
      </c>
      <c r="F219" s="5" t="s">
        <v>740</v>
      </c>
      <c r="G219" s="8" t="s">
        <v>516</v>
      </c>
      <c r="H219" s="8" t="s">
        <v>49</v>
      </c>
      <c r="I219" s="8">
        <v>0</v>
      </c>
      <c r="J219" s="8" t="s">
        <v>55</v>
      </c>
      <c r="K219" s="8">
        <v>0</v>
      </c>
      <c r="L219" s="8" t="s">
        <v>741</v>
      </c>
      <c r="M219" s="21">
        <v>43102</v>
      </c>
      <c r="O219" s="8" t="s">
        <v>105</v>
      </c>
      <c r="P219" s="8" t="s">
        <v>8</v>
      </c>
      <c r="R219" s="8">
        <v>0</v>
      </c>
      <c r="S219" s="8" t="s">
        <v>2196</v>
      </c>
      <c r="T219" s="8" t="s">
        <v>742</v>
      </c>
      <c r="U219" s="8" t="s">
        <v>740</v>
      </c>
      <c r="V219" s="8" t="s">
        <v>742</v>
      </c>
      <c r="W219" s="8" t="s">
        <v>740</v>
      </c>
    </row>
    <row r="220" spans="1:23" x14ac:dyDescent="0.25">
      <c r="A220" s="8">
        <v>222</v>
      </c>
      <c r="B220" s="5" t="s">
        <v>107</v>
      </c>
      <c r="C220" s="5">
        <v>222</v>
      </c>
      <c r="D220" s="5">
        <v>1</v>
      </c>
      <c r="E220" s="26">
        <v>43238</v>
      </c>
      <c r="F220" s="5" t="s">
        <v>743</v>
      </c>
      <c r="G220" s="8" t="s">
        <v>516</v>
      </c>
      <c r="H220" s="8" t="s">
        <v>49</v>
      </c>
      <c r="I220" s="8">
        <v>0</v>
      </c>
      <c r="J220" s="8" t="s">
        <v>55</v>
      </c>
      <c r="K220" s="8">
        <v>0</v>
      </c>
      <c r="L220" s="8" t="s">
        <v>744</v>
      </c>
      <c r="M220" s="21">
        <v>43102</v>
      </c>
      <c r="O220" s="8" t="s">
        <v>105</v>
      </c>
      <c r="P220" s="8" t="s">
        <v>8</v>
      </c>
      <c r="R220" s="8">
        <v>0</v>
      </c>
      <c r="S220" s="8" t="s">
        <v>2197</v>
      </c>
      <c r="T220" s="8" t="s">
        <v>745</v>
      </c>
      <c r="U220" s="8" t="s">
        <v>743</v>
      </c>
      <c r="V220" s="8" t="s">
        <v>745</v>
      </c>
      <c r="W220" s="8" t="s">
        <v>743</v>
      </c>
    </row>
    <row r="221" spans="1:23" x14ac:dyDescent="0.25">
      <c r="A221" s="8">
        <v>223</v>
      </c>
      <c r="B221" s="5" t="s">
        <v>107</v>
      </c>
      <c r="C221" s="5">
        <v>223</v>
      </c>
      <c r="D221" s="5">
        <v>1</v>
      </c>
      <c r="E221" s="26">
        <v>43238</v>
      </c>
      <c r="F221" s="5" t="s">
        <v>746</v>
      </c>
      <c r="G221" s="8" t="s">
        <v>293</v>
      </c>
      <c r="H221" s="8" t="s">
        <v>49</v>
      </c>
      <c r="I221" s="8">
        <v>0</v>
      </c>
      <c r="J221" s="8" t="s">
        <v>55</v>
      </c>
      <c r="K221" s="8">
        <v>0</v>
      </c>
      <c r="L221" s="8" t="s">
        <v>747</v>
      </c>
      <c r="M221" s="21">
        <v>43102</v>
      </c>
      <c r="O221" s="8" t="s">
        <v>105</v>
      </c>
      <c r="P221" s="8" t="s">
        <v>8</v>
      </c>
      <c r="R221" s="8">
        <v>0</v>
      </c>
      <c r="S221" s="8" t="s">
        <v>2198</v>
      </c>
      <c r="T221" s="8" t="s">
        <v>748</v>
      </c>
      <c r="U221" s="8" t="s">
        <v>746</v>
      </c>
      <c r="V221" s="8" t="s">
        <v>748</v>
      </c>
      <c r="W221" s="8" t="s">
        <v>746</v>
      </c>
    </row>
    <row r="222" spans="1:23" x14ac:dyDescent="0.25">
      <c r="A222" s="8">
        <v>224</v>
      </c>
      <c r="B222" s="5" t="s">
        <v>107</v>
      </c>
      <c r="C222" s="5">
        <v>224</v>
      </c>
      <c r="D222" s="5">
        <v>1</v>
      </c>
      <c r="E222" s="26">
        <v>43238</v>
      </c>
      <c r="F222" s="5" t="s">
        <v>749</v>
      </c>
      <c r="G222" s="8" t="s">
        <v>293</v>
      </c>
      <c r="H222" s="8" t="s">
        <v>49</v>
      </c>
      <c r="I222" s="8">
        <v>0</v>
      </c>
      <c r="J222" s="8" t="s">
        <v>55</v>
      </c>
      <c r="K222" s="8">
        <v>0</v>
      </c>
      <c r="L222" s="8" t="s">
        <v>750</v>
      </c>
      <c r="M222" s="21">
        <v>43102</v>
      </c>
      <c r="O222" s="8" t="s">
        <v>105</v>
      </c>
      <c r="P222" s="8" t="s">
        <v>8</v>
      </c>
      <c r="R222" s="8">
        <v>0</v>
      </c>
      <c r="S222" s="8" t="s">
        <v>2199</v>
      </c>
      <c r="T222" s="8" t="s">
        <v>751</v>
      </c>
      <c r="U222" s="8" t="s">
        <v>749</v>
      </c>
      <c r="V222" s="8" t="s">
        <v>751</v>
      </c>
      <c r="W222" s="8" t="s">
        <v>749</v>
      </c>
    </row>
    <row r="223" spans="1:23" x14ac:dyDescent="0.25">
      <c r="A223" s="8">
        <v>225</v>
      </c>
      <c r="B223" s="5" t="s">
        <v>107</v>
      </c>
      <c r="C223" s="5">
        <v>225</v>
      </c>
      <c r="D223" s="5">
        <v>1</v>
      </c>
      <c r="E223" s="26">
        <v>43238</v>
      </c>
      <c r="F223" s="5" t="s">
        <v>752</v>
      </c>
      <c r="G223" s="8" t="s">
        <v>348</v>
      </c>
      <c r="H223" s="8" t="s">
        <v>49</v>
      </c>
      <c r="I223" s="8">
        <v>0</v>
      </c>
      <c r="J223" s="8" t="s">
        <v>55</v>
      </c>
      <c r="K223" s="8">
        <v>0</v>
      </c>
      <c r="L223" s="8" t="s">
        <v>753</v>
      </c>
      <c r="M223" s="21">
        <v>43102</v>
      </c>
      <c r="O223" s="8" t="s">
        <v>105</v>
      </c>
      <c r="P223" s="8" t="s">
        <v>8</v>
      </c>
      <c r="R223" s="8">
        <v>0</v>
      </c>
      <c r="S223" s="8" t="s">
        <v>2200</v>
      </c>
      <c r="T223" s="8" t="s">
        <v>754</v>
      </c>
      <c r="U223" s="8" t="s">
        <v>752</v>
      </c>
      <c r="V223" s="8" t="s">
        <v>754</v>
      </c>
      <c r="W223" s="8" t="s">
        <v>752</v>
      </c>
    </row>
    <row r="224" spans="1:23" x14ac:dyDescent="0.25">
      <c r="A224" s="8">
        <v>226</v>
      </c>
      <c r="B224" s="5" t="s">
        <v>107</v>
      </c>
      <c r="C224" s="5">
        <v>226</v>
      </c>
      <c r="D224" s="5">
        <v>1</v>
      </c>
      <c r="E224" s="26">
        <v>43238</v>
      </c>
      <c r="F224" s="5" t="s">
        <v>755</v>
      </c>
      <c r="G224" s="8" t="s">
        <v>128</v>
      </c>
      <c r="H224" s="8" t="s">
        <v>49</v>
      </c>
      <c r="I224" s="8">
        <v>0</v>
      </c>
      <c r="J224" s="8" t="s">
        <v>55</v>
      </c>
      <c r="K224" s="8">
        <v>0</v>
      </c>
      <c r="L224" s="8" t="s">
        <v>756</v>
      </c>
      <c r="M224" s="21">
        <v>43102</v>
      </c>
      <c r="O224" s="8" t="s">
        <v>105</v>
      </c>
      <c r="P224" s="8" t="s">
        <v>8</v>
      </c>
      <c r="R224" s="8">
        <v>0</v>
      </c>
      <c r="S224" s="8" t="s">
        <v>2201</v>
      </c>
      <c r="T224" s="8" t="s">
        <v>757</v>
      </c>
      <c r="U224" s="8" t="s">
        <v>755</v>
      </c>
      <c r="V224" s="8" t="s">
        <v>757</v>
      </c>
      <c r="W224" s="8" t="s">
        <v>755</v>
      </c>
    </row>
    <row r="225" spans="1:23" x14ac:dyDescent="0.25">
      <c r="A225" s="8">
        <v>227</v>
      </c>
      <c r="B225" s="5" t="s">
        <v>107</v>
      </c>
      <c r="C225" s="5">
        <v>227</v>
      </c>
      <c r="D225" s="5">
        <v>1</v>
      </c>
      <c r="E225" s="26">
        <v>43238</v>
      </c>
      <c r="F225" s="5" t="s">
        <v>758</v>
      </c>
      <c r="G225" s="8" t="s">
        <v>128</v>
      </c>
      <c r="H225" s="8" t="s">
        <v>49</v>
      </c>
      <c r="I225" s="8">
        <v>0</v>
      </c>
      <c r="J225" s="8" t="s">
        <v>55</v>
      </c>
      <c r="K225" s="8">
        <v>0</v>
      </c>
      <c r="L225" s="8" t="s">
        <v>759</v>
      </c>
      <c r="M225" s="21">
        <v>43102</v>
      </c>
      <c r="O225" s="8" t="s">
        <v>105</v>
      </c>
      <c r="P225" s="8" t="s">
        <v>8</v>
      </c>
      <c r="R225" s="8">
        <v>0</v>
      </c>
      <c r="S225" s="8" t="s">
        <v>2202</v>
      </c>
      <c r="T225" s="8" t="s">
        <v>760</v>
      </c>
      <c r="U225" s="8" t="s">
        <v>758</v>
      </c>
      <c r="V225" s="8" t="s">
        <v>760</v>
      </c>
      <c r="W225" s="8" t="s">
        <v>758</v>
      </c>
    </row>
    <row r="226" spans="1:23" x14ac:dyDescent="0.25">
      <c r="A226" s="8">
        <v>228</v>
      </c>
      <c r="B226" s="5" t="s">
        <v>107</v>
      </c>
      <c r="C226" s="5">
        <v>228</v>
      </c>
      <c r="D226" s="5">
        <v>1</v>
      </c>
      <c r="E226" s="26">
        <v>43238</v>
      </c>
      <c r="F226" s="5" t="s">
        <v>761</v>
      </c>
      <c r="G226" s="8" t="s">
        <v>128</v>
      </c>
      <c r="H226" s="8" t="s">
        <v>49</v>
      </c>
      <c r="I226" s="8">
        <v>0</v>
      </c>
      <c r="J226" s="8" t="s">
        <v>55</v>
      </c>
      <c r="K226" s="8">
        <v>0</v>
      </c>
      <c r="L226" s="8" t="s">
        <v>762</v>
      </c>
      <c r="M226" s="21">
        <v>43102</v>
      </c>
      <c r="O226" s="8" t="s">
        <v>105</v>
      </c>
      <c r="P226" s="8" t="s">
        <v>8</v>
      </c>
      <c r="R226" s="8">
        <v>0</v>
      </c>
      <c r="S226" s="8" t="s">
        <v>2203</v>
      </c>
      <c r="T226" s="8" t="s">
        <v>763</v>
      </c>
      <c r="U226" s="8" t="s">
        <v>761</v>
      </c>
      <c r="V226" s="8" t="s">
        <v>763</v>
      </c>
      <c r="W226" s="8" t="s">
        <v>761</v>
      </c>
    </row>
    <row r="227" spans="1:23" x14ac:dyDescent="0.25">
      <c r="A227" s="8">
        <v>229</v>
      </c>
      <c r="B227" s="5" t="s">
        <v>107</v>
      </c>
      <c r="C227" s="5">
        <v>229</v>
      </c>
      <c r="D227" s="5">
        <v>1</v>
      </c>
      <c r="E227" s="26">
        <v>43238</v>
      </c>
      <c r="F227" s="5" t="s">
        <v>764</v>
      </c>
      <c r="G227" s="8" t="s">
        <v>128</v>
      </c>
      <c r="H227" s="8" t="s">
        <v>49</v>
      </c>
      <c r="I227" s="8">
        <v>0</v>
      </c>
      <c r="J227" s="8" t="s">
        <v>55</v>
      </c>
      <c r="K227" s="8">
        <v>0</v>
      </c>
      <c r="L227" s="8" t="s">
        <v>765</v>
      </c>
      <c r="M227" s="21">
        <v>43102</v>
      </c>
      <c r="O227" s="8" t="s">
        <v>105</v>
      </c>
      <c r="P227" s="8" t="s">
        <v>8</v>
      </c>
      <c r="R227" s="8">
        <v>0</v>
      </c>
      <c r="S227" s="8" t="s">
        <v>2204</v>
      </c>
      <c r="T227" s="8" t="s">
        <v>766</v>
      </c>
      <c r="U227" s="8" t="s">
        <v>764</v>
      </c>
      <c r="V227" s="8" t="s">
        <v>766</v>
      </c>
      <c r="W227" s="8" t="s">
        <v>764</v>
      </c>
    </row>
    <row r="228" spans="1:23" x14ac:dyDescent="0.25">
      <c r="A228" s="8">
        <v>230</v>
      </c>
      <c r="B228" s="5" t="s">
        <v>107</v>
      </c>
      <c r="C228" s="5">
        <v>230</v>
      </c>
      <c r="D228" s="5">
        <v>1</v>
      </c>
      <c r="E228" s="26">
        <v>43238</v>
      </c>
      <c r="F228" s="5" t="s">
        <v>767</v>
      </c>
      <c r="G228" s="8" t="s">
        <v>128</v>
      </c>
      <c r="H228" s="8" t="s">
        <v>49</v>
      </c>
      <c r="I228" s="8">
        <v>0</v>
      </c>
      <c r="J228" s="8" t="s">
        <v>55</v>
      </c>
      <c r="K228" s="8">
        <v>0</v>
      </c>
      <c r="L228" s="8" t="s">
        <v>768</v>
      </c>
      <c r="M228" s="21">
        <v>43102</v>
      </c>
      <c r="O228" s="8" t="s">
        <v>105</v>
      </c>
      <c r="P228" s="8" t="s">
        <v>8</v>
      </c>
      <c r="R228" s="8">
        <v>0</v>
      </c>
      <c r="S228" s="8" t="s">
        <v>2205</v>
      </c>
      <c r="T228" s="8" t="s">
        <v>769</v>
      </c>
      <c r="U228" s="8" t="s">
        <v>767</v>
      </c>
      <c r="V228" s="8" t="s">
        <v>769</v>
      </c>
      <c r="W228" s="8" t="s">
        <v>767</v>
      </c>
    </row>
    <row r="229" spans="1:23" x14ac:dyDescent="0.25">
      <c r="A229" s="8">
        <v>231</v>
      </c>
      <c r="B229" s="5" t="s">
        <v>107</v>
      </c>
      <c r="C229" s="5">
        <v>231</v>
      </c>
      <c r="D229" s="5">
        <v>1</v>
      </c>
      <c r="E229" s="26">
        <v>43238</v>
      </c>
      <c r="F229" s="5" t="s">
        <v>770</v>
      </c>
      <c r="G229" s="8" t="s">
        <v>128</v>
      </c>
      <c r="H229" s="8" t="s">
        <v>49</v>
      </c>
      <c r="I229" s="8">
        <v>0</v>
      </c>
      <c r="J229" s="8" t="s">
        <v>55</v>
      </c>
      <c r="K229" s="8">
        <v>0</v>
      </c>
      <c r="L229" s="8" t="s">
        <v>771</v>
      </c>
      <c r="M229" s="21">
        <v>43102</v>
      </c>
      <c r="O229" s="8" t="s">
        <v>105</v>
      </c>
      <c r="P229" s="8" t="s">
        <v>8</v>
      </c>
      <c r="R229" s="8">
        <v>0</v>
      </c>
      <c r="S229" s="8" t="s">
        <v>2206</v>
      </c>
      <c r="T229" s="8" t="s">
        <v>772</v>
      </c>
      <c r="U229" s="8" t="s">
        <v>770</v>
      </c>
      <c r="V229" s="8" t="s">
        <v>772</v>
      </c>
      <c r="W229" s="8" t="s">
        <v>770</v>
      </c>
    </row>
    <row r="230" spans="1:23" x14ac:dyDescent="0.25">
      <c r="A230" s="8">
        <v>232</v>
      </c>
      <c r="B230" s="5" t="s">
        <v>107</v>
      </c>
      <c r="C230" s="5">
        <v>232</v>
      </c>
      <c r="D230" s="5">
        <v>1</v>
      </c>
      <c r="E230" s="26">
        <v>43238</v>
      </c>
      <c r="F230" s="5" t="s">
        <v>773</v>
      </c>
      <c r="G230" s="8" t="s">
        <v>128</v>
      </c>
      <c r="H230" s="8" t="s">
        <v>49</v>
      </c>
      <c r="I230" s="8">
        <v>0</v>
      </c>
      <c r="J230" s="8" t="s">
        <v>55</v>
      </c>
      <c r="K230" s="8">
        <v>0</v>
      </c>
      <c r="L230" s="8" t="s">
        <v>774</v>
      </c>
      <c r="M230" s="21">
        <v>43102</v>
      </c>
      <c r="O230" s="8" t="s">
        <v>105</v>
      </c>
      <c r="P230" s="8" t="s">
        <v>8</v>
      </c>
      <c r="R230" s="8">
        <v>0</v>
      </c>
      <c r="S230" s="8" t="s">
        <v>2207</v>
      </c>
      <c r="T230" s="8" t="s">
        <v>775</v>
      </c>
      <c r="U230" s="8" t="s">
        <v>773</v>
      </c>
      <c r="V230" s="8" t="s">
        <v>775</v>
      </c>
      <c r="W230" s="8" t="s">
        <v>773</v>
      </c>
    </row>
    <row r="231" spans="1:23" x14ac:dyDescent="0.25">
      <c r="A231" s="8">
        <v>233</v>
      </c>
      <c r="B231" s="5" t="s">
        <v>107</v>
      </c>
      <c r="C231" s="5">
        <v>233</v>
      </c>
      <c r="D231" s="5">
        <v>1</v>
      </c>
      <c r="E231" s="26">
        <v>43238</v>
      </c>
      <c r="F231" s="5" t="s">
        <v>776</v>
      </c>
      <c r="G231" s="8" t="s">
        <v>777</v>
      </c>
      <c r="H231" s="8" t="s">
        <v>49</v>
      </c>
      <c r="I231" s="8">
        <v>0</v>
      </c>
      <c r="J231" s="8" t="s">
        <v>55</v>
      </c>
      <c r="K231" s="8">
        <v>0</v>
      </c>
      <c r="L231" s="8" t="s">
        <v>778</v>
      </c>
      <c r="M231" s="21">
        <v>43102</v>
      </c>
      <c r="O231" s="8" t="s">
        <v>105</v>
      </c>
      <c r="P231" s="8" t="s">
        <v>8</v>
      </c>
      <c r="R231" s="8">
        <v>0</v>
      </c>
      <c r="S231" s="8" t="s">
        <v>2208</v>
      </c>
      <c r="T231" s="8" t="s">
        <v>779</v>
      </c>
      <c r="U231" s="8" t="s">
        <v>776</v>
      </c>
      <c r="V231" s="8" t="s">
        <v>779</v>
      </c>
      <c r="W231" s="8" t="s">
        <v>776</v>
      </c>
    </row>
    <row r="232" spans="1:23" x14ac:dyDescent="0.25">
      <c r="A232" s="8">
        <v>234</v>
      </c>
      <c r="B232" s="5" t="s">
        <v>107</v>
      </c>
      <c r="C232" s="5">
        <v>234</v>
      </c>
      <c r="D232" s="5">
        <v>1</v>
      </c>
      <c r="E232" s="26">
        <v>43238</v>
      </c>
      <c r="F232" s="5" t="s">
        <v>780</v>
      </c>
      <c r="G232" s="8" t="s">
        <v>777</v>
      </c>
      <c r="H232" s="8" t="s">
        <v>49</v>
      </c>
      <c r="I232" s="8">
        <v>0</v>
      </c>
      <c r="J232" s="8" t="s">
        <v>55</v>
      </c>
      <c r="K232" s="8">
        <v>0</v>
      </c>
      <c r="L232" s="8" t="s">
        <v>778</v>
      </c>
      <c r="M232" s="21">
        <v>43102</v>
      </c>
      <c r="O232" s="8" t="s">
        <v>105</v>
      </c>
      <c r="P232" s="8" t="s">
        <v>8</v>
      </c>
      <c r="R232" s="8">
        <v>0</v>
      </c>
      <c r="S232" s="8" t="s">
        <v>2209</v>
      </c>
      <c r="T232" s="8" t="s">
        <v>781</v>
      </c>
      <c r="U232" s="8" t="s">
        <v>780</v>
      </c>
      <c r="V232" s="8" t="s">
        <v>781</v>
      </c>
      <c r="W232" s="8" t="s">
        <v>780</v>
      </c>
    </row>
    <row r="233" spans="1:23" x14ac:dyDescent="0.25">
      <c r="A233" s="8">
        <v>235</v>
      </c>
      <c r="B233" s="5" t="s">
        <v>107</v>
      </c>
      <c r="C233" s="5">
        <v>235</v>
      </c>
      <c r="D233" s="5">
        <v>1</v>
      </c>
      <c r="E233" s="26">
        <v>43238</v>
      </c>
      <c r="F233" s="5" t="s">
        <v>782</v>
      </c>
      <c r="G233" s="8" t="s">
        <v>224</v>
      </c>
      <c r="H233" s="8" t="s">
        <v>49</v>
      </c>
      <c r="I233" s="8">
        <v>0</v>
      </c>
      <c r="J233" s="8" t="s">
        <v>55</v>
      </c>
      <c r="K233" s="8">
        <v>0</v>
      </c>
      <c r="L233" s="8" t="s">
        <v>783</v>
      </c>
      <c r="M233" s="21">
        <v>43102</v>
      </c>
      <c r="O233" s="8" t="s">
        <v>105</v>
      </c>
      <c r="P233" s="8" t="s">
        <v>8</v>
      </c>
      <c r="R233" s="8">
        <v>0</v>
      </c>
      <c r="S233" s="8" t="s">
        <v>2210</v>
      </c>
      <c r="T233" s="8" t="s">
        <v>784</v>
      </c>
      <c r="U233" s="8" t="s">
        <v>782</v>
      </c>
      <c r="V233" s="8" t="s">
        <v>784</v>
      </c>
      <c r="W233" s="8" t="s">
        <v>782</v>
      </c>
    </row>
    <row r="234" spans="1:23" x14ac:dyDescent="0.25">
      <c r="A234" s="8">
        <v>236</v>
      </c>
      <c r="B234" s="5" t="s">
        <v>107</v>
      </c>
      <c r="C234" s="5">
        <v>236</v>
      </c>
      <c r="D234" s="5">
        <v>1</v>
      </c>
      <c r="E234" s="26">
        <v>43238</v>
      </c>
      <c r="F234" s="5" t="s">
        <v>785</v>
      </c>
      <c r="G234" s="8" t="s">
        <v>690</v>
      </c>
      <c r="H234" s="8" t="s">
        <v>49</v>
      </c>
      <c r="I234" s="8">
        <v>0</v>
      </c>
      <c r="J234" s="8" t="s">
        <v>55</v>
      </c>
      <c r="K234" s="8">
        <v>0</v>
      </c>
      <c r="L234" s="8" t="s">
        <v>786</v>
      </c>
      <c r="M234" s="21">
        <v>43102</v>
      </c>
      <c r="O234" s="8" t="s">
        <v>105</v>
      </c>
      <c r="P234" s="8" t="s">
        <v>8</v>
      </c>
      <c r="R234" s="8">
        <v>0</v>
      </c>
      <c r="S234" s="8" t="s">
        <v>2211</v>
      </c>
      <c r="T234" s="8" t="s">
        <v>787</v>
      </c>
      <c r="U234" s="8" t="s">
        <v>785</v>
      </c>
      <c r="V234" s="8" t="s">
        <v>787</v>
      </c>
      <c r="W234" s="8" t="s">
        <v>785</v>
      </c>
    </row>
    <row r="235" spans="1:23" x14ac:dyDescent="0.25">
      <c r="A235" s="8">
        <v>237</v>
      </c>
      <c r="B235" s="5" t="s">
        <v>107</v>
      </c>
      <c r="C235" s="5">
        <v>237</v>
      </c>
      <c r="D235" s="5">
        <v>1</v>
      </c>
      <c r="E235" s="26">
        <v>43238</v>
      </c>
      <c r="F235" s="5" t="s">
        <v>788</v>
      </c>
      <c r="G235" s="8" t="s">
        <v>128</v>
      </c>
      <c r="H235" s="8" t="s">
        <v>49</v>
      </c>
      <c r="I235" s="8">
        <v>0</v>
      </c>
      <c r="J235" s="8" t="s">
        <v>55</v>
      </c>
      <c r="K235" s="8">
        <v>0</v>
      </c>
      <c r="L235" s="8" t="s">
        <v>789</v>
      </c>
      <c r="M235" s="21">
        <v>43102</v>
      </c>
      <c r="O235" s="8" t="s">
        <v>105</v>
      </c>
      <c r="P235" s="8" t="s">
        <v>8</v>
      </c>
      <c r="R235" s="8">
        <v>0</v>
      </c>
      <c r="S235" s="8" t="s">
        <v>2212</v>
      </c>
      <c r="T235" s="8" t="s">
        <v>790</v>
      </c>
      <c r="U235" s="8" t="s">
        <v>788</v>
      </c>
      <c r="V235" s="8" t="s">
        <v>790</v>
      </c>
      <c r="W235" s="8" t="s">
        <v>788</v>
      </c>
    </row>
    <row r="236" spans="1:23" x14ac:dyDescent="0.25">
      <c r="B236" s="5"/>
      <c r="C236" s="5"/>
      <c r="D236" s="5"/>
      <c r="E236" s="26"/>
      <c r="F236" s="5"/>
    </row>
    <row r="237" spans="1:23" x14ac:dyDescent="0.25">
      <c r="B237" s="5"/>
      <c r="C237" s="5"/>
      <c r="D237" s="5"/>
      <c r="E237" s="26"/>
      <c r="F237" s="5"/>
    </row>
    <row r="238" spans="1:23" x14ac:dyDescent="0.25">
      <c r="B238" s="5"/>
      <c r="C238" s="5"/>
      <c r="D238" s="5"/>
      <c r="E238" s="26"/>
      <c r="F238" s="5"/>
    </row>
    <row r="239" spans="1:23" x14ac:dyDescent="0.25">
      <c r="B239" s="5"/>
      <c r="C239" s="5"/>
      <c r="D239" s="5"/>
      <c r="E239" s="26"/>
      <c r="F239" s="5"/>
    </row>
    <row r="240" spans="1:23" x14ac:dyDescent="0.25">
      <c r="B240" s="5"/>
      <c r="C240" s="5"/>
      <c r="D240" s="5"/>
      <c r="E240" s="26"/>
      <c r="F240" s="5"/>
    </row>
    <row r="241" spans="2:6" x14ac:dyDescent="0.25">
      <c r="B241" s="5"/>
      <c r="C241" s="5"/>
      <c r="D241" s="5"/>
      <c r="E241" s="26"/>
      <c r="F241" s="5"/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590"/>
  <sheetViews>
    <sheetView tabSelected="1" workbookViewId="0">
      <selection activeCell="B600" sqref="B600"/>
    </sheetView>
  </sheetViews>
  <sheetFormatPr defaultColWidth="16" defaultRowHeight="15" x14ac:dyDescent="0.25"/>
  <cols>
    <col min="1" max="1" width="21.140625" style="27" bestFit="1" customWidth="1"/>
    <col min="2" max="2" width="20" style="27" bestFit="1" customWidth="1"/>
    <col min="3" max="3" width="8.85546875" style="27" customWidth="1"/>
    <col min="4" max="4" width="10.5703125" style="28" customWidth="1"/>
    <col min="5" max="5" width="8.85546875" style="27"/>
    <col min="6" max="6" width="33.28515625" style="27" customWidth="1"/>
    <col min="7" max="7" width="19.85546875" style="27" customWidth="1"/>
    <col min="8" max="8" width="8.85546875" style="27" customWidth="1"/>
    <col min="9" max="9" width="8.85546875" style="27"/>
    <col min="10" max="16384" width="16" style="8"/>
  </cols>
  <sheetData>
    <row r="1" spans="1:9" s="29" customFormat="1" ht="14.25" customHeight="1" x14ac:dyDescent="0.25">
      <c r="A1" s="30" t="s">
        <v>108</v>
      </c>
      <c r="B1" s="30" t="s">
        <v>6</v>
      </c>
      <c r="C1" s="30" t="s">
        <v>12</v>
      </c>
      <c r="D1" s="33" t="s">
        <v>26</v>
      </c>
      <c r="E1" s="31" t="s">
        <v>109</v>
      </c>
      <c r="F1" s="30" t="s">
        <v>39</v>
      </c>
      <c r="G1" s="30" t="s">
        <v>14</v>
      </c>
      <c r="H1" s="30" t="s">
        <v>110</v>
      </c>
      <c r="I1" s="32" t="s">
        <v>792</v>
      </c>
    </row>
    <row r="2" spans="1:9" x14ac:dyDescent="0.25">
      <c r="A2" s="27" t="s">
        <v>112</v>
      </c>
      <c r="B2" s="27" t="s">
        <v>111</v>
      </c>
      <c r="C2" s="27">
        <v>0</v>
      </c>
      <c r="D2" s="28">
        <v>43322</v>
      </c>
      <c r="E2" s="27">
        <v>1509.13</v>
      </c>
      <c r="F2" s="27" t="s">
        <v>794</v>
      </c>
      <c r="G2" s="27" t="s">
        <v>795</v>
      </c>
      <c r="H2" s="27" t="s">
        <v>106</v>
      </c>
      <c r="I2" s="27">
        <v>0</v>
      </c>
    </row>
    <row r="3" spans="1:9" x14ac:dyDescent="0.25">
      <c r="A3" s="27" t="s">
        <v>112</v>
      </c>
      <c r="B3" s="27" t="s">
        <v>111</v>
      </c>
      <c r="C3" s="27">
        <v>0</v>
      </c>
      <c r="D3" s="28">
        <v>43346</v>
      </c>
      <c r="E3" s="27">
        <v>-714.85</v>
      </c>
      <c r="F3" s="27" t="s">
        <v>796</v>
      </c>
      <c r="G3" s="27" t="s">
        <v>797</v>
      </c>
      <c r="H3" s="27" t="s">
        <v>106</v>
      </c>
      <c r="I3" s="27">
        <v>0</v>
      </c>
    </row>
    <row r="4" spans="1:9" x14ac:dyDescent="0.25">
      <c r="A4" s="27" t="s">
        <v>112</v>
      </c>
      <c r="B4" s="27" t="s">
        <v>111</v>
      </c>
      <c r="C4" s="27">
        <v>0</v>
      </c>
      <c r="D4" s="28">
        <v>43349</v>
      </c>
      <c r="E4" s="27">
        <v>7148.53</v>
      </c>
      <c r="F4" s="27" t="s">
        <v>798</v>
      </c>
      <c r="G4" s="27" t="s">
        <v>799</v>
      </c>
      <c r="H4" s="27" t="s">
        <v>106</v>
      </c>
      <c r="I4" s="27">
        <v>0</v>
      </c>
    </row>
    <row r="5" spans="1:9" x14ac:dyDescent="0.25">
      <c r="A5" s="27" t="s">
        <v>112</v>
      </c>
      <c r="B5" s="27" t="s">
        <v>111</v>
      </c>
      <c r="C5" s="27">
        <v>0</v>
      </c>
      <c r="D5" s="28">
        <v>43383</v>
      </c>
      <c r="E5" s="27">
        <v>-19857.03</v>
      </c>
      <c r="F5" s="27" t="s">
        <v>800</v>
      </c>
      <c r="G5" s="27" t="s">
        <v>801</v>
      </c>
      <c r="H5" s="27" t="s">
        <v>106</v>
      </c>
      <c r="I5" s="27">
        <v>0</v>
      </c>
    </row>
    <row r="6" spans="1:9" x14ac:dyDescent="0.25">
      <c r="A6" s="27" t="s">
        <v>124</v>
      </c>
      <c r="B6" s="27" t="s">
        <v>111</v>
      </c>
      <c r="C6" s="27">
        <v>0</v>
      </c>
      <c r="D6" s="28">
        <v>43256</v>
      </c>
      <c r="E6" s="27">
        <v>397.14</v>
      </c>
      <c r="F6" s="27" t="s">
        <v>802</v>
      </c>
      <c r="G6" s="27" t="s">
        <v>803</v>
      </c>
      <c r="H6" s="27" t="s">
        <v>106</v>
      </c>
      <c r="I6" s="27">
        <v>0</v>
      </c>
    </row>
    <row r="7" spans="1:9" x14ac:dyDescent="0.25">
      <c r="A7" s="27" t="s">
        <v>124</v>
      </c>
      <c r="B7" s="27" t="s">
        <v>111</v>
      </c>
      <c r="C7" s="27">
        <v>0</v>
      </c>
      <c r="D7" s="28">
        <v>43340</v>
      </c>
      <c r="E7" s="27">
        <v>1509.13</v>
      </c>
      <c r="F7" s="27" t="s">
        <v>804</v>
      </c>
      <c r="G7" s="27" t="s">
        <v>805</v>
      </c>
      <c r="H7" s="27" t="s">
        <v>106</v>
      </c>
      <c r="I7" s="27">
        <v>0</v>
      </c>
    </row>
    <row r="8" spans="1:9" x14ac:dyDescent="0.25">
      <c r="A8" s="27" t="s">
        <v>124</v>
      </c>
      <c r="B8" s="27" t="s">
        <v>111</v>
      </c>
      <c r="C8" s="27">
        <v>0</v>
      </c>
      <c r="D8" s="28">
        <v>43342</v>
      </c>
      <c r="E8" s="27">
        <v>-23351.86</v>
      </c>
      <c r="F8" s="27" t="s">
        <v>806</v>
      </c>
      <c r="G8" s="27" t="s">
        <v>807</v>
      </c>
      <c r="H8" s="27" t="s">
        <v>106</v>
      </c>
      <c r="I8" s="27">
        <v>6</v>
      </c>
    </row>
    <row r="9" spans="1:9" x14ac:dyDescent="0.25">
      <c r="A9" s="27" t="s">
        <v>124</v>
      </c>
      <c r="B9" s="27" t="s">
        <v>111</v>
      </c>
      <c r="C9" s="27">
        <v>0</v>
      </c>
      <c r="D9" s="28">
        <v>43342</v>
      </c>
      <c r="E9" s="27">
        <v>-158.86000000000001</v>
      </c>
      <c r="F9" s="27" t="s">
        <v>808</v>
      </c>
      <c r="G9" s="27" t="s">
        <v>809</v>
      </c>
      <c r="H9" s="27" t="s">
        <v>106</v>
      </c>
      <c r="I9" s="27">
        <v>7</v>
      </c>
    </row>
    <row r="10" spans="1:9" x14ac:dyDescent="0.25">
      <c r="A10" s="27" t="s">
        <v>124</v>
      </c>
      <c r="B10" s="27" t="s">
        <v>111</v>
      </c>
      <c r="C10" s="27">
        <v>0</v>
      </c>
      <c r="D10" s="28">
        <v>43349</v>
      </c>
      <c r="E10" s="27">
        <v>23272.44</v>
      </c>
      <c r="F10" s="27" t="s">
        <v>810</v>
      </c>
      <c r="G10" s="27" t="s">
        <v>811</v>
      </c>
      <c r="H10" s="27" t="s">
        <v>106</v>
      </c>
      <c r="I10" s="27">
        <v>0</v>
      </c>
    </row>
    <row r="11" spans="1:9" x14ac:dyDescent="0.25">
      <c r="A11" s="27" t="s">
        <v>136</v>
      </c>
      <c r="B11" s="27" t="s">
        <v>111</v>
      </c>
      <c r="C11" s="27">
        <v>0</v>
      </c>
      <c r="D11" s="28">
        <v>43242</v>
      </c>
      <c r="E11" s="27">
        <v>238.28</v>
      </c>
      <c r="F11" s="27" t="s">
        <v>812</v>
      </c>
      <c r="G11" s="27" t="s">
        <v>813</v>
      </c>
      <c r="H11" s="27" t="s">
        <v>106</v>
      </c>
      <c r="I11" s="27">
        <v>2</v>
      </c>
    </row>
    <row r="12" spans="1:9" x14ac:dyDescent="0.25">
      <c r="A12" s="27" t="s">
        <v>136</v>
      </c>
      <c r="B12" s="27" t="s">
        <v>111</v>
      </c>
      <c r="C12" s="27">
        <v>0</v>
      </c>
      <c r="D12" s="28">
        <v>43243</v>
      </c>
      <c r="E12" s="27">
        <v>397.14</v>
      </c>
      <c r="F12" s="27" t="s">
        <v>814</v>
      </c>
      <c r="G12" s="27" t="s">
        <v>815</v>
      </c>
      <c r="H12" s="27" t="s">
        <v>106</v>
      </c>
      <c r="I12" s="27">
        <v>2</v>
      </c>
    </row>
    <row r="13" spans="1:9" x14ac:dyDescent="0.25">
      <c r="A13" s="27" t="s">
        <v>136</v>
      </c>
      <c r="B13" s="27" t="s">
        <v>111</v>
      </c>
      <c r="C13" s="27">
        <v>0</v>
      </c>
      <c r="D13" s="28">
        <v>43244</v>
      </c>
      <c r="E13" s="27">
        <v>-555.99</v>
      </c>
      <c r="F13" s="27" t="s">
        <v>816</v>
      </c>
      <c r="G13" s="27" t="s">
        <v>817</v>
      </c>
      <c r="H13" s="27" t="s">
        <v>106</v>
      </c>
      <c r="I13" s="27">
        <v>2</v>
      </c>
    </row>
    <row r="14" spans="1:9" x14ac:dyDescent="0.25">
      <c r="A14" s="27" t="s">
        <v>136</v>
      </c>
      <c r="B14" s="27" t="s">
        <v>111</v>
      </c>
      <c r="C14" s="27">
        <v>0</v>
      </c>
      <c r="D14" s="28">
        <v>43245</v>
      </c>
      <c r="E14" s="27">
        <v>18347.89</v>
      </c>
      <c r="F14" s="27" t="s">
        <v>818</v>
      </c>
      <c r="G14" s="27" t="s">
        <v>819</v>
      </c>
      <c r="H14" s="27" t="s">
        <v>106</v>
      </c>
      <c r="I14" s="27">
        <v>1</v>
      </c>
    </row>
    <row r="15" spans="1:9" x14ac:dyDescent="0.25">
      <c r="A15" s="27" t="s">
        <v>136</v>
      </c>
      <c r="B15" s="27" t="s">
        <v>111</v>
      </c>
      <c r="C15" s="27">
        <v>0</v>
      </c>
      <c r="D15" s="28">
        <v>43248</v>
      </c>
      <c r="E15" s="27">
        <v>-18268.46</v>
      </c>
      <c r="F15" s="27" t="s">
        <v>820</v>
      </c>
      <c r="G15" s="27" t="s">
        <v>821</v>
      </c>
      <c r="H15" s="27" t="s">
        <v>106</v>
      </c>
      <c r="I15" s="27">
        <v>1</v>
      </c>
    </row>
    <row r="16" spans="1:9" x14ac:dyDescent="0.25">
      <c r="A16" s="27" t="s">
        <v>136</v>
      </c>
      <c r="B16" s="27" t="s">
        <v>111</v>
      </c>
      <c r="C16" s="27">
        <v>0</v>
      </c>
      <c r="D16" s="28">
        <v>43251</v>
      </c>
      <c r="E16" s="27">
        <v>-79.430000000000007</v>
      </c>
      <c r="F16" s="27" t="s">
        <v>822</v>
      </c>
      <c r="G16" s="27" t="s">
        <v>823</v>
      </c>
      <c r="H16" s="27" t="s">
        <v>106</v>
      </c>
      <c r="I16" s="27">
        <v>2</v>
      </c>
    </row>
    <row r="17" spans="1:9" x14ac:dyDescent="0.25">
      <c r="A17" s="27" t="s">
        <v>136</v>
      </c>
      <c r="B17" s="27" t="s">
        <v>111</v>
      </c>
      <c r="C17" s="27">
        <v>0</v>
      </c>
      <c r="D17" s="28">
        <v>43273</v>
      </c>
      <c r="E17" s="27">
        <v>476.57</v>
      </c>
      <c r="F17" s="27" t="s">
        <v>824</v>
      </c>
      <c r="G17" s="27" t="s">
        <v>825</v>
      </c>
      <c r="H17" s="27" t="s">
        <v>106</v>
      </c>
      <c r="I17" s="27">
        <v>2</v>
      </c>
    </row>
    <row r="18" spans="1:9" x14ac:dyDescent="0.25">
      <c r="A18" s="27" t="s">
        <v>136</v>
      </c>
      <c r="B18" s="27" t="s">
        <v>111</v>
      </c>
      <c r="C18" s="27">
        <v>0</v>
      </c>
      <c r="D18" s="28">
        <v>43276</v>
      </c>
      <c r="E18" s="27">
        <v>-476.57</v>
      </c>
      <c r="F18" s="27" t="s">
        <v>826</v>
      </c>
      <c r="G18" s="27" t="s">
        <v>827</v>
      </c>
      <c r="H18" s="27" t="s">
        <v>106</v>
      </c>
      <c r="I18" s="27">
        <v>1</v>
      </c>
    </row>
    <row r="19" spans="1:9" x14ac:dyDescent="0.25">
      <c r="A19" s="27" t="s">
        <v>136</v>
      </c>
      <c r="B19" s="27" t="s">
        <v>111</v>
      </c>
      <c r="C19" s="27">
        <v>0</v>
      </c>
      <c r="D19" s="28">
        <v>43276</v>
      </c>
      <c r="E19" s="27">
        <v>238.28</v>
      </c>
      <c r="F19" s="27" t="s">
        <v>828</v>
      </c>
      <c r="G19" s="27" t="s">
        <v>829</v>
      </c>
      <c r="H19" s="27" t="s">
        <v>106</v>
      </c>
      <c r="I19" s="27">
        <v>2</v>
      </c>
    </row>
    <row r="20" spans="1:9" x14ac:dyDescent="0.25">
      <c r="A20" s="27" t="s">
        <v>136</v>
      </c>
      <c r="B20" s="27" t="s">
        <v>111</v>
      </c>
      <c r="C20" s="27">
        <v>0</v>
      </c>
      <c r="D20" s="28">
        <v>43277</v>
      </c>
      <c r="E20" s="27">
        <v>18745.04</v>
      </c>
      <c r="F20" s="27" t="s">
        <v>830</v>
      </c>
      <c r="G20" s="27" t="s">
        <v>831</v>
      </c>
      <c r="H20" s="27" t="s">
        <v>106</v>
      </c>
      <c r="I20" s="27">
        <v>1</v>
      </c>
    </row>
    <row r="21" spans="1:9" x14ac:dyDescent="0.25">
      <c r="A21" s="27" t="s">
        <v>136</v>
      </c>
      <c r="B21" s="27" t="s">
        <v>111</v>
      </c>
      <c r="C21" s="27">
        <v>0</v>
      </c>
      <c r="D21" s="28">
        <v>43277</v>
      </c>
      <c r="E21" s="27">
        <v>-16838.759999999998</v>
      </c>
      <c r="F21" s="27" t="s">
        <v>832</v>
      </c>
      <c r="G21" s="27" t="s">
        <v>833</v>
      </c>
      <c r="H21" s="27" t="s">
        <v>106</v>
      </c>
      <c r="I21" s="27">
        <v>4</v>
      </c>
    </row>
    <row r="22" spans="1:9" x14ac:dyDescent="0.25">
      <c r="A22" s="27" t="s">
        <v>136</v>
      </c>
      <c r="B22" s="27" t="s">
        <v>111</v>
      </c>
      <c r="C22" s="27">
        <v>0</v>
      </c>
      <c r="D22" s="28">
        <v>43277</v>
      </c>
      <c r="E22" s="27">
        <v>3733.12</v>
      </c>
      <c r="F22" s="27" t="s">
        <v>834</v>
      </c>
      <c r="G22" s="27" t="s">
        <v>835</v>
      </c>
      <c r="H22" s="27" t="s">
        <v>106</v>
      </c>
      <c r="I22" s="27">
        <v>6</v>
      </c>
    </row>
    <row r="23" spans="1:9" x14ac:dyDescent="0.25">
      <c r="A23" s="27" t="s">
        <v>136</v>
      </c>
      <c r="B23" s="27" t="s">
        <v>111</v>
      </c>
      <c r="C23" s="27">
        <v>0</v>
      </c>
      <c r="D23" s="28">
        <v>43280</v>
      </c>
      <c r="E23" s="27">
        <v>-5480.54</v>
      </c>
      <c r="F23" s="27" t="s">
        <v>836</v>
      </c>
      <c r="G23" s="27" t="s">
        <v>837</v>
      </c>
      <c r="H23" s="27" t="s">
        <v>106</v>
      </c>
      <c r="I23" s="27">
        <v>2</v>
      </c>
    </row>
    <row r="24" spans="1:9" x14ac:dyDescent="0.25">
      <c r="A24" s="27" t="s">
        <v>136</v>
      </c>
      <c r="B24" s="27" t="s">
        <v>111</v>
      </c>
      <c r="C24" s="27">
        <v>0</v>
      </c>
      <c r="D24" s="28">
        <v>43283</v>
      </c>
      <c r="E24" s="27">
        <v>238.28</v>
      </c>
      <c r="F24" s="27" t="s">
        <v>838</v>
      </c>
      <c r="G24" s="27" t="s">
        <v>839</v>
      </c>
      <c r="H24" s="27" t="s">
        <v>106</v>
      </c>
      <c r="I24" s="27">
        <v>2</v>
      </c>
    </row>
    <row r="25" spans="1:9" x14ac:dyDescent="0.25">
      <c r="A25" s="27" t="s">
        <v>136</v>
      </c>
      <c r="B25" s="27" t="s">
        <v>111</v>
      </c>
      <c r="C25" s="27">
        <v>0</v>
      </c>
      <c r="D25" s="28">
        <v>43284</v>
      </c>
      <c r="E25" s="27">
        <v>158.86000000000001</v>
      </c>
      <c r="F25" s="27" t="s">
        <v>840</v>
      </c>
      <c r="G25" s="27" t="s">
        <v>841</v>
      </c>
      <c r="H25" s="27" t="s">
        <v>106</v>
      </c>
      <c r="I25" s="27">
        <v>2</v>
      </c>
    </row>
    <row r="26" spans="1:9" x14ac:dyDescent="0.25">
      <c r="A26" s="27" t="s">
        <v>136</v>
      </c>
      <c r="B26" s="27" t="s">
        <v>111</v>
      </c>
      <c r="C26" s="27">
        <v>0</v>
      </c>
      <c r="D26" s="28">
        <v>43285</v>
      </c>
      <c r="E26" s="27">
        <v>-317.70999999999998</v>
      </c>
      <c r="F26" s="27" t="s">
        <v>842</v>
      </c>
      <c r="G26" s="27" t="s">
        <v>843</v>
      </c>
      <c r="H26" s="27" t="s">
        <v>106</v>
      </c>
      <c r="I26" s="27">
        <v>2</v>
      </c>
    </row>
    <row r="27" spans="1:9" x14ac:dyDescent="0.25">
      <c r="A27" s="27" t="s">
        <v>136</v>
      </c>
      <c r="B27" s="27" t="s">
        <v>111</v>
      </c>
      <c r="C27" s="27">
        <v>0</v>
      </c>
      <c r="D27" s="28">
        <v>43286</v>
      </c>
      <c r="E27" s="27">
        <v>-317.72000000000003</v>
      </c>
      <c r="F27" s="27" t="s">
        <v>844</v>
      </c>
      <c r="G27" s="27" t="s">
        <v>845</v>
      </c>
      <c r="H27" s="27" t="s">
        <v>106</v>
      </c>
      <c r="I27" s="27">
        <v>2</v>
      </c>
    </row>
    <row r="28" spans="1:9" x14ac:dyDescent="0.25">
      <c r="A28" s="27" t="s">
        <v>136</v>
      </c>
      <c r="B28" s="27" t="s">
        <v>111</v>
      </c>
      <c r="C28" s="27">
        <v>0</v>
      </c>
      <c r="D28" s="28">
        <v>43291</v>
      </c>
      <c r="E28" s="27">
        <v>11278.8</v>
      </c>
      <c r="F28" s="27" t="s">
        <v>846</v>
      </c>
      <c r="G28" s="27" t="s">
        <v>847</v>
      </c>
      <c r="H28" s="27" t="s">
        <v>106</v>
      </c>
      <c r="I28" s="27">
        <v>1</v>
      </c>
    </row>
    <row r="29" spans="1:9" x14ac:dyDescent="0.25">
      <c r="A29" s="27" t="s">
        <v>136</v>
      </c>
      <c r="B29" s="27" t="s">
        <v>111</v>
      </c>
      <c r="C29" s="27">
        <v>0</v>
      </c>
      <c r="D29" s="28">
        <v>43292</v>
      </c>
      <c r="E29" s="27">
        <v>-11437.65</v>
      </c>
      <c r="F29" s="27" t="s">
        <v>848</v>
      </c>
      <c r="G29" s="27" t="s">
        <v>849</v>
      </c>
      <c r="H29" s="27" t="s">
        <v>106</v>
      </c>
      <c r="I29" s="27">
        <v>2</v>
      </c>
    </row>
    <row r="30" spans="1:9" x14ac:dyDescent="0.25">
      <c r="A30" s="27" t="s">
        <v>136</v>
      </c>
      <c r="B30" s="27" t="s">
        <v>111</v>
      </c>
      <c r="C30" s="27">
        <v>0</v>
      </c>
      <c r="D30" s="28">
        <v>43294</v>
      </c>
      <c r="E30" s="27">
        <v>158.85</v>
      </c>
      <c r="F30" s="27" t="s">
        <v>850</v>
      </c>
      <c r="G30" s="27" t="s">
        <v>851</v>
      </c>
      <c r="H30" s="27" t="s">
        <v>106</v>
      </c>
      <c r="I30" s="27">
        <v>1</v>
      </c>
    </row>
    <row r="31" spans="1:9" x14ac:dyDescent="0.25">
      <c r="A31" s="27" t="s">
        <v>136</v>
      </c>
      <c r="B31" s="27" t="s">
        <v>111</v>
      </c>
      <c r="C31" s="27">
        <v>0</v>
      </c>
      <c r="D31" s="28">
        <v>43294</v>
      </c>
      <c r="E31" s="27">
        <v>79.430000000000007</v>
      </c>
      <c r="F31" s="27" t="s">
        <v>852</v>
      </c>
      <c r="G31" s="27" t="s">
        <v>853</v>
      </c>
      <c r="H31" s="27" t="s">
        <v>106</v>
      </c>
      <c r="I31" s="27">
        <v>2</v>
      </c>
    </row>
    <row r="32" spans="1:9" x14ac:dyDescent="0.25">
      <c r="A32" s="27" t="s">
        <v>136</v>
      </c>
      <c r="B32" s="27" t="s">
        <v>111</v>
      </c>
      <c r="C32" s="27">
        <v>0</v>
      </c>
      <c r="D32" s="28">
        <v>43297</v>
      </c>
      <c r="E32" s="27">
        <v>-158.85</v>
      </c>
      <c r="F32" s="27" t="s">
        <v>854</v>
      </c>
      <c r="G32" s="27" t="s">
        <v>855</v>
      </c>
      <c r="H32" s="27" t="s">
        <v>106</v>
      </c>
      <c r="I32" s="27">
        <v>3</v>
      </c>
    </row>
    <row r="33" spans="1:9" x14ac:dyDescent="0.25">
      <c r="A33" s="27" t="s">
        <v>136</v>
      </c>
      <c r="B33" s="27" t="s">
        <v>111</v>
      </c>
      <c r="C33" s="27">
        <v>0</v>
      </c>
      <c r="D33" s="28">
        <v>43305</v>
      </c>
      <c r="E33" s="27">
        <v>-79.430000000000007</v>
      </c>
      <c r="F33" s="27" t="s">
        <v>856</v>
      </c>
      <c r="G33" s="27" t="s">
        <v>857</v>
      </c>
      <c r="H33" s="27" t="s">
        <v>106</v>
      </c>
      <c r="I33" s="27">
        <v>2</v>
      </c>
    </row>
    <row r="34" spans="1:9" x14ac:dyDescent="0.25">
      <c r="A34" s="27" t="s">
        <v>136</v>
      </c>
      <c r="B34" s="27" t="s">
        <v>111</v>
      </c>
      <c r="C34" s="27">
        <v>0</v>
      </c>
      <c r="D34" s="28">
        <v>43305</v>
      </c>
      <c r="E34" s="27">
        <v>79.430000000000007</v>
      </c>
      <c r="F34" s="27" t="s">
        <v>858</v>
      </c>
      <c r="G34" s="27" t="s">
        <v>859</v>
      </c>
      <c r="H34" s="27" t="s">
        <v>106</v>
      </c>
      <c r="I34" s="27">
        <v>3</v>
      </c>
    </row>
    <row r="35" spans="1:9" x14ac:dyDescent="0.25">
      <c r="A35" s="27" t="s">
        <v>136</v>
      </c>
      <c r="B35" s="27" t="s">
        <v>111</v>
      </c>
      <c r="C35" s="27">
        <v>0</v>
      </c>
      <c r="D35" s="28">
        <v>43311</v>
      </c>
      <c r="E35" s="27">
        <v>-79.430000000000007</v>
      </c>
      <c r="F35" s="27" t="s">
        <v>860</v>
      </c>
      <c r="G35" s="27" t="s">
        <v>861</v>
      </c>
      <c r="H35" s="27" t="s">
        <v>106</v>
      </c>
      <c r="I35" s="27">
        <v>2</v>
      </c>
    </row>
    <row r="36" spans="1:9" x14ac:dyDescent="0.25">
      <c r="A36" s="27" t="s">
        <v>136</v>
      </c>
      <c r="B36" s="27" t="s">
        <v>111</v>
      </c>
      <c r="C36" s="27">
        <v>0</v>
      </c>
      <c r="D36" s="28">
        <v>43315</v>
      </c>
      <c r="E36" s="27">
        <v>79.430000000000007</v>
      </c>
      <c r="F36" s="27" t="s">
        <v>862</v>
      </c>
      <c r="G36" s="27" t="s">
        <v>863</v>
      </c>
      <c r="H36" s="27" t="s">
        <v>106</v>
      </c>
      <c r="I36" s="27">
        <v>5</v>
      </c>
    </row>
    <row r="37" spans="1:9" x14ac:dyDescent="0.25">
      <c r="A37" s="27" t="s">
        <v>136</v>
      </c>
      <c r="B37" s="27" t="s">
        <v>111</v>
      </c>
      <c r="C37" s="27">
        <v>0</v>
      </c>
      <c r="D37" s="28">
        <v>43320</v>
      </c>
      <c r="E37" s="27">
        <v>-79.430000000000007</v>
      </c>
      <c r="F37" s="27" t="s">
        <v>864</v>
      </c>
      <c r="G37" s="27" t="s">
        <v>865</v>
      </c>
      <c r="H37" s="27" t="s">
        <v>106</v>
      </c>
      <c r="I37" s="27">
        <v>2</v>
      </c>
    </row>
    <row r="38" spans="1:9" x14ac:dyDescent="0.25">
      <c r="A38" s="27" t="s">
        <v>136</v>
      </c>
      <c r="B38" s="27" t="s">
        <v>111</v>
      </c>
      <c r="C38" s="27">
        <v>0</v>
      </c>
      <c r="D38" s="28">
        <v>43321</v>
      </c>
      <c r="E38" s="27">
        <v>317.70999999999998</v>
      </c>
      <c r="F38" s="27" t="s">
        <v>866</v>
      </c>
      <c r="G38" s="27" t="s">
        <v>867</v>
      </c>
      <c r="H38" s="27" t="s">
        <v>106</v>
      </c>
      <c r="I38" s="27">
        <v>2</v>
      </c>
    </row>
    <row r="39" spans="1:9" x14ac:dyDescent="0.25">
      <c r="A39" s="27" t="s">
        <v>136</v>
      </c>
      <c r="B39" s="27" t="s">
        <v>111</v>
      </c>
      <c r="C39" s="27">
        <v>0</v>
      </c>
      <c r="D39" s="28">
        <v>43322</v>
      </c>
      <c r="E39" s="27">
        <v>556</v>
      </c>
      <c r="F39" s="27" t="s">
        <v>868</v>
      </c>
      <c r="G39" s="27" t="s">
        <v>869</v>
      </c>
      <c r="H39" s="27" t="s">
        <v>106</v>
      </c>
      <c r="I39" s="27">
        <v>2</v>
      </c>
    </row>
    <row r="40" spans="1:9" x14ac:dyDescent="0.25">
      <c r="A40" s="27" t="s">
        <v>136</v>
      </c>
      <c r="B40" s="27" t="s">
        <v>111</v>
      </c>
      <c r="C40" s="27">
        <v>0</v>
      </c>
      <c r="D40" s="28">
        <v>43325</v>
      </c>
      <c r="E40" s="27">
        <v>-635.42999999999995</v>
      </c>
      <c r="F40" s="27" t="s">
        <v>870</v>
      </c>
      <c r="G40" s="27" t="s">
        <v>871</v>
      </c>
      <c r="H40" s="27" t="s">
        <v>106</v>
      </c>
      <c r="I40" s="27">
        <v>2</v>
      </c>
    </row>
    <row r="41" spans="1:9" x14ac:dyDescent="0.25">
      <c r="A41" s="27" t="s">
        <v>136</v>
      </c>
      <c r="B41" s="27" t="s">
        <v>111</v>
      </c>
      <c r="C41" s="27">
        <v>0</v>
      </c>
      <c r="D41" s="28">
        <v>43329</v>
      </c>
      <c r="E41" s="27">
        <v>-238.28</v>
      </c>
      <c r="F41" s="27" t="s">
        <v>872</v>
      </c>
      <c r="G41" s="27" t="s">
        <v>873</v>
      </c>
      <c r="H41" s="27" t="s">
        <v>106</v>
      </c>
      <c r="I41" s="27">
        <v>2</v>
      </c>
    </row>
    <row r="42" spans="1:9" x14ac:dyDescent="0.25">
      <c r="A42" s="27" t="s">
        <v>136</v>
      </c>
      <c r="B42" s="27" t="s">
        <v>111</v>
      </c>
      <c r="C42" s="27">
        <v>0</v>
      </c>
      <c r="D42" s="28">
        <v>43332</v>
      </c>
      <c r="E42" s="27">
        <v>79.430000000000007</v>
      </c>
      <c r="F42" s="27" t="s">
        <v>874</v>
      </c>
      <c r="G42" s="27" t="s">
        <v>875</v>
      </c>
      <c r="H42" s="27" t="s">
        <v>106</v>
      </c>
      <c r="I42" s="27">
        <v>2</v>
      </c>
    </row>
    <row r="43" spans="1:9" x14ac:dyDescent="0.25">
      <c r="A43" s="27" t="s">
        <v>136</v>
      </c>
      <c r="B43" s="27" t="s">
        <v>111</v>
      </c>
      <c r="C43" s="27">
        <v>0</v>
      </c>
      <c r="D43" s="28">
        <v>43341</v>
      </c>
      <c r="E43" s="27">
        <v>-79.430000000000007</v>
      </c>
      <c r="F43" s="27" t="s">
        <v>876</v>
      </c>
      <c r="G43" s="27" t="s">
        <v>877</v>
      </c>
      <c r="H43" s="27" t="s">
        <v>106</v>
      </c>
      <c r="I43" s="27">
        <v>2</v>
      </c>
    </row>
    <row r="44" spans="1:9" x14ac:dyDescent="0.25">
      <c r="A44" s="27" t="s">
        <v>136</v>
      </c>
      <c r="B44" s="27" t="s">
        <v>111</v>
      </c>
      <c r="C44" s="27">
        <v>0</v>
      </c>
      <c r="D44" s="28">
        <v>43361</v>
      </c>
      <c r="E44" s="27">
        <v>476.57</v>
      </c>
      <c r="F44" s="27" t="s">
        <v>878</v>
      </c>
      <c r="G44" s="27" t="s">
        <v>879</v>
      </c>
      <c r="H44" s="27" t="s">
        <v>106</v>
      </c>
      <c r="I44" s="27">
        <v>4</v>
      </c>
    </row>
    <row r="45" spans="1:9" x14ac:dyDescent="0.25">
      <c r="A45" s="27" t="s">
        <v>136</v>
      </c>
      <c r="B45" s="27" t="s">
        <v>111</v>
      </c>
      <c r="C45" s="27">
        <v>0</v>
      </c>
      <c r="D45" s="28">
        <v>43362</v>
      </c>
      <c r="E45" s="27">
        <v>-158.86000000000001</v>
      </c>
      <c r="F45" s="27" t="s">
        <v>880</v>
      </c>
      <c r="G45" s="27" t="s">
        <v>881</v>
      </c>
      <c r="H45" s="27" t="s">
        <v>106</v>
      </c>
      <c r="I45" s="27">
        <v>2</v>
      </c>
    </row>
    <row r="46" spans="1:9" x14ac:dyDescent="0.25">
      <c r="A46" s="27" t="s">
        <v>136</v>
      </c>
      <c r="B46" s="27" t="s">
        <v>111</v>
      </c>
      <c r="C46" s="27">
        <v>0</v>
      </c>
      <c r="D46" s="28">
        <v>43370</v>
      </c>
      <c r="E46" s="27">
        <v>-238.28</v>
      </c>
      <c r="F46" s="27" t="s">
        <v>882</v>
      </c>
      <c r="G46" s="27" t="s">
        <v>883</v>
      </c>
      <c r="H46" s="27" t="s">
        <v>106</v>
      </c>
      <c r="I46" s="27">
        <v>2</v>
      </c>
    </row>
    <row r="47" spans="1:9" x14ac:dyDescent="0.25">
      <c r="A47" s="27" t="s">
        <v>136</v>
      </c>
      <c r="B47" s="27" t="s">
        <v>111</v>
      </c>
      <c r="C47" s="27">
        <v>0</v>
      </c>
      <c r="D47" s="28">
        <v>43371</v>
      </c>
      <c r="E47" s="27">
        <v>13502.78</v>
      </c>
      <c r="F47" s="27" t="s">
        <v>884</v>
      </c>
      <c r="G47" s="27" t="s">
        <v>885</v>
      </c>
      <c r="H47" s="27" t="s">
        <v>106</v>
      </c>
      <c r="I47" s="27">
        <v>1</v>
      </c>
    </row>
    <row r="48" spans="1:9" x14ac:dyDescent="0.25">
      <c r="A48" s="27" t="s">
        <v>136</v>
      </c>
      <c r="B48" s="27" t="s">
        <v>111</v>
      </c>
      <c r="C48" s="27">
        <v>0</v>
      </c>
      <c r="D48" s="28">
        <v>43374</v>
      </c>
      <c r="E48" s="27">
        <v>-13582.21</v>
      </c>
      <c r="F48" s="27" t="s">
        <v>886</v>
      </c>
      <c r="G48" s="27" t="s">
        <v>887</v>
      </c>
      <c r="H48" s="27" t="s">
        <v>106</v>
      </c>
      <c r="I48" s="27">
        <v>1</v>
      </c>
    </row>
    <row r="49" spans="1:9" x14ac:dyDescent="0.25">
      <c r="A49" s="27" t="s">
        <v>136</v>
      </c>
      <c r="B49" s="27" t="s">
        <v>111</v>
      </c>
      <c r="C49" s="27">
        <v>0</v>
      </c>
      <c r="D49" s="28">
        <v>43374</v>
      </c>
      <c r="E49" s="27">
        <v>79.430000000000007</v>
      </c>
      <c r="F49" s="27" t="s">
        <v>888</v>
      </c>
      <c r="G49" s="27" t="s">
        <v>889</v>
      </c>
      <c r="H49" s="27" t="s">
        <v>106</v>
      </c>
      <c r="I49" s="27">
        <v>2</v>
      </c>
    </row>
    <row r="50" spans="1:9" x14ac:dyDescent="0.25">
      <c r="A50" s="27" t="s">
        <v>136</v>
      </c>
      <c r="B50" s="27" t="s">
        <v>111</v>
      </c>
      <c r="C50" s="27">
        <v>0</v>
      </c>
      <c r="D50" s="28">
        <v>43391</v>
      </c>
      <c r="E50" s="27">
        <v>-79.430000000000007</v>
      </c>
      <c r="F50" s="27" t="s">
        <v>890</v>
      </c>
      <c r="G50" s="27" t="s">
        <v>891</v>
      </c>
      <c r="H50" s="27" t="s">
        <v>106</v>
      </c>
      <c r="I50" s="27">
        <v>2</v>
      </c>
    </row>
    <row r="51" spans="1:9" x14ac:dyDescent="0.25">
      <c r="A51" s="27" t="s">
        <v>136</v>
      </c>
      <c r="B51" s="27" t="s">
        <v>111</v>
      </c>
      <c r="C51" s="27">
        <v>0</v>
      </c>
      <c r="D51" s="28">
        <v>43392</v>
      </c>
      <c r="E51" s="27">
        <v>555.99</v>
      </c>
      <c r="F51" s="27" t="s">
        <v>892</v>
      </c>
      <c r="G51" s="27" t="s">
        <v>893</v>
      </c>
      <c r="H51" s="27" t="s">
        <v>106</v>
      </c>
      <c r="I51" s="27">
        <v>2</v>
      </c>
    </row>
    <row r="52" spans="1:9" x14ac:dyDescent="0.25">
      <c r="A52" s="27" t="s">
        <v>136</v>
      </c>
      <c r="B52" s="27" t="s">
        <v>111</v>
      </c>
      <c r="C52" s="27">
        <v>0</v>
      </c>
      <c r="D52" s="28">
        <v>43395</v>
      </c>
      <c r="E52" s="27">
        <v>-476.56</v>
      </c>
      <c r="F52" s="27" t="s">
        <v>894</v>
      </c>
      <c r="G52" s="27" t="s">
        <v>895</v>
      </c>
      <c r="H52" s="27" t="s">
        <v>106</v>
      </c>
      <c r="I52" s="27">
        <v>2</v>
      </c>
    </row>
    <row r="53" spans="1:9" x14ac:dyDescent="0.25">
      <c r="A53" s="27" t="s">
        <v>136</v>
      </c>
      <c r="B53" s="27" t="s">
        <v>111</v>
      </c>
      <c r="C53" s="27">
        <v>0</v>
      </c>
      <c r="D53" s="28">
        <v>43398</v>
      </c>
      <c r="E53" s="27">
        <v>-79.430000000000007</v>
      </c>
      <c r="F53" s="27" t="s">
        <v>896</v>
      </c>
      <c r="G53" s="27" t="s">
        <v>897</v>
      </c>
      <c r="H53" s="27" t="s">
        <v>106</v>
      </c>
      <c r="I53" s="27">
        <v>1</v>
      </c>
    </row>
    <row r="54" spans="1:9" x14ac:dyDescent="0.25">
      <c r="A54" s="27" t="s">
        <v>136</v>
      </c>
      <c r="B54" s="27" t="s">
        <v>111</v>
      </c>
      <c r="C54" s="27">
        <v>0</v>
      </c>
      <c r="D54" s="28">
        <v>43398</v>
      </c>
      <c r="E54" s="27">
        <v>158.85</v>
      </c>
      <c r="F54" s="27" t="s">
        <v>898</v>
      </c>
      <c r="G54" s="27" t="s">
        <v>899</v>
      </c>
      <c r="H54" s="27" t="s">
        <v>106</v>
      </c>
      <c r="I54" s="27">
        <v>2</v>
      </c>
    </row>
    <row r="55" spans="1:9" x14ac:dyDescent="0.25">
      <c r="A55" s="27" t="s">
        <v>136</v>
      </c>
      <c r="B55" s="27" t="s">
        <v>111</v>
      </c>
      <c r="C55" s="27">
        <v>0</v>
      </c>
      <c r="D55" s="28">
        <v>43399</v>
      </c>
      <c r="E55" s="27">
        <v>397.14</v>
      </c>
      <c r="F55" s="27" t="s">
        <v>900</v>
      </c>
      <c r="G55" s="27" t="s">
        <v>901</v>
      </c>
      <c r="H55" s="27" t="s">
        <v>106</v>
      </c>
      <c r="I55" s="27">
        <v>2</v>
      </c>
    </row>
    <row r="56" spans="1:9" x14ac:dyDescent="0.25">
      <c r="A56" s="27" t="s">
        <v>136</v>
      </c>
      <c r="B56" s="27" t="s">
        <v>111</v>
      </c>
      <c r="C56" s="27">
        <v>0</v>
      </c>
      <c r="D56" s="28">
        <v>43402</v>
      </c>
      <c r="E56" s="27">
        <v>79.430000000000007</v>
      </c>
      <c r="F56" s="27" t="s">
        <v>902</v>
      </c>
      <c r="G56" s="27" t="s">
        <v>903</v>
      </c>
      <c r="H56" s="27" t="s">
        <v>106</v>
      </c>
      <c r="I56" s="27">
        <v>2</v>
      </c>
    </row>
    <row r="57" spans="1:9" x14ac:dyDescent="0.25">
      <c r="A57" s="27" t="s">
        <v>136</v>
      </c>
      <c r="B57" s="27" t="s">
        <v>111</v>
      </c>
      <c r="C57" s="27">
        <v>0</v>
      </c>
      <c r="D57" s="28">
        <v>43403</v>
      </c>
      <c r="E57" s="27">
        <v>-635.41999999999996</v>
      </c>
      <c r="F57" s="27" t="s">
        <v>904</v>
      </c>
      <c r="G57" s="27" t="s">
        <v>905</v>
      </c>
      <c r="H57" s="27" t="s">
        <v>106</v>
      </c>
      <c r="I57" s="27">
        <v>2</v>
      </c>
    </row>
    <row r="58" spans="1:9" x14ac:dyDescent="0.25">
      <c r="A58" s="27" t="s">
        <v>136</v>
      </c>
      <c r="B58" s="27" t="s">
        <v>111</v>
      </c>
      <c r="C58" s="27">
        <v>0</v>
      </c>
      <c r="D58" s="28">
        <v>43404</v>
      </c>
      <c r="E58" s="27">
        <v>14217.63</v>
      </c>
      <c r="F58" s="27" t="s">
        <v>906</v>
      </c>
      <c r="G58" s="27" t="s">
        <v>907</v>
      </c>
      <c r="H58" s="27" t="s">
        <v>106</v>
      </c>
      <c r="I58" s="27">
        <v>1</v>
      </c>
    </row>
    <row r="59" spans="1:9" x14ac:dyDescent="0.25">
      <c r="A59" s="27" t="s">
        <v>136</v>
      </c>
      <c r="B59" s="27" t="s">
        <v>111</v>
      </c>
      <c r="C59" s="27">
        <v>0</v>
      </c>
      <c r="D59" s="28">
        <v>43404</v>
      </c>
      <c r="E59" s="27">
        <v>-11755.36</v>
      </c>
      <c r="F59" s="27" t="s">
        <v>908</v>
      </c>
      <c r="G59" s="27" t="s">
        <v>909</v>
      </c>
      <c r="H59" s="27" t="s">
        <v>106</v>
      </c>
      <c r="I59" s="27">
        <v>4</v>
      </c>
    </row>
    <row r="60" spans="1:9" x14ac:dyDescent="0.25">
      <c r="A60" s="27" t="s">
        <v>2213</v>
      </c>
      <c r="B60" s="27" t="s">
        <v>111</v>
      </c>
      <c r="C60" s="27">
        <v>0</v>
      </c>
      <c r="D60" s="28">
        <v>43242</v>
      </c>
      <c r="E60" s="27">
        <v>39714.06</v>
      </c>
      <c r="F60" s="27" t="s">
        <v>910</v>
      </c>
      <c r="G60" s="27" t="s">
        <v>911</v>
      </c>
      <c r="H60" s="27" t="s">
        <v>106</v>
      </c>
      <c r="I60" s="27">
        <v>0</v>
      </c>
    </row>
    <row r="61" spans="1:9" x14ac:dyDescent="0.25">
      <c r="A61" s="27" t="s">
        <v>2213</v>
      </c>
      <c r="B61" s="27" t="s">
        <v>111</v>
      </c>
      <c r="C61" s="27">
        <v>0</v>
      </c>
      <c r="D61" s="28">
        <v>43242</v>
      </c>
      <c r="E61" s="27">
        <v>5242.25</v>
      </c>
      <c r="F61" s="27" t="s">
        <v>912</v>
      </c>
      <c r="G61" s="27" t="s">
        <v>913</v>
      </c>
      <c r="H61" s="27" t="s">
        <v>106</v>
      </c>
      <c r="I61" s="27">
        <v>2</v>
      </c>
    </row>
    <row r="62" spans="1:9" x14ac:dyDescent="0.25">
      <c r="A62" s="27" t="s">
        <v>2213</v>
      </c>
      <c r="B62" s="27" t="s">
        <v>111</v>
      </c>
      <c r="C62" s="27">
        <v>0</v>
      </c>
      <c r="D62" s="28">
        <v>43243</v>
      </c>
      <c r="E62" s="27">
        <v>-17156.47</v>
      </c>
      <c r="F62" s="27" t="s">
        <v>914</v>
      </c>
      <c r="G62" s="27" t="s">
        <v>915</v>
      </c>
      <c r="H62" s="27" t="s">
        <v>106</v>
      </c>
      <c r="I62" s="27">
        <v>0</v>
      </c>
    </row>
    <row r="63" spans="1:9" x14ac:dyDescent="0.25">
      <c r="A63" s="27" t="s">
        <v>2213</v>
      </c>
      <c r="B63" s="27" t="s">
        <v>111</v>
      </c>
      <c r="C63" s="27">
        <v>0</v>
      </c>
      <c r="D63" s="28">
        <v>43243</v>
      </c>
      <c r="E63" s="27">
        <v>13979.35</v>
      </c>
      <c r="F63" s="27" t="s">
        <v>916</v>
      </c>
      <c r="G63" s="27" t="s">
        <v>917</v>
      </c>
      <c r="H63" s="27" t="s">
        <v>106</v>
      </c>
      <c r="I63" s="27">
        <v>2</v>
      </c>
    </row>
    <row r="64" spans="1:9" x14ac:dyDescent="0.25">
      <c r="A64" s="27" t="s">
        <v>2213</v>
      </c>
      <c r="B64" s="27" t="s">
        <v>111</v>
      </c>
      <c r="C64" s="27">
        <v>0</v>
      </c>
      <c r="D64" s="28">
        <v>43244</v>
      </c>
      <c r="E64" s="27">
        <v>-13979.35</v>
      </c>
      <c r="F64" s="27" t="s">
        <v>918</v>
      </c>
      <c r="G64" s="27" t="s">
        <v>919</v>
      </c>
      <c r="H64" s="27" t="s">
        <v>106</v>
      </c>
      <c r="I64" s="27">
        <v>0</v>
      </c>
    </row>
    <row r="65" spans="1:9" x14ac:dyDescent="0.25">
      <c r="A65" s="27" t="s">
        <v>2213</v>
      </c>
      <c r="B65" s="27" t="s">
        <v>111</v>
      </c>
      <c r="C65" s="27">
        <v>0</v>
      </c>
      <c r="D65" s="28">
        <v>43244</v>
      </c>
      <c r="E65" s="27">
        <v>12152.5</v>
      </c>
      <c r="F65" s="27" t="s">
        <v>920</v>
      </c>
      <c r="G65" s="27" t="s">
        <v>921</v>
      </c>
      <c r="H65" s="27" t="s">
        <v>106</v>
      </c>
      <c r="I65" s="27">
        <v>2</v>
      </c>
    </row>
    <row r="66" spans="1:9" x14ac:dyDescent="0.25">
      <c r="A66" s="27" t="s">
        <v>2213</v>
      </c>
      <c r="B66" s="27" t="s">
        <v>111</v>
      </c>
      <c r="C66" s="27">
        <v>0</v>
      </c>
      <c r="D66" s="28">
        <v>43245</v>
      </c>
      <c r="E66" s="27">
        <v>12470.22</v>
      </c>
      <c r="F66" s="27" t="s">
        <v>922</v>
      </c>
      <c r="G66" s="27" t="s">
        <v>923</v>
      </c>
      <c r="H66" s="27" t="s">
        <v>106</v>
      </c>
      <c r="I66" s="27">
        <v>0</v>
      </c>
    </row>
    <row r="67" spans="1:9" x14ac:dyDescent="0.25">
      <c r="A67" s="27" t="s">
        <v>2213</v>
      </c>
      <c r="B67" s="27" t="s">
        <v>111</v>
      </c>
      <c r="C67" s="27">
        <v>0</v>
      </c>
      <c r="D67" s="28">
        <v>43245</v>
      </c>
      <c r="E67" s="27">
        <v>-17712.47</v>
      </c>
      <c r="F67" s="27" t="s">
        <v>924</v>
      </c>
      <c r="G67" s="27" t="s">
        <v>925</v>
      </c>
      <c r="H67" s="27" t="s">
        <v>106</v>
      </c>
      <c r="I67" s="27">
        <v>2</v>
      </c>
    </row>
    <row r="68" spans="1:9" x14ac:dyDescent="0.25">
      <c r="A68" s="27" t="s">
        <v>2213</v>
      </c>
      <c r="B68" s="27" t="s">
        <v>111</v>
      </c>
      <c r="C68" s="27">
        <v>0</v>
      </c>
      <c r="D68" s="28">
        <v>43248</v>
      </c>
      <c r="E68" s="27">
        <v>5003.97</v>
      </c>
      <c r="F68" s="27" t="s">
        <v>926</v>
      </c>
      <c r="G68" s="27" t="s">
        <v>927</v>
      </c>
      <c r="H68" s="27" t="s">
        <v>106</v>
      </c>
      <c r="I68" s="27">
        <v>0</v>
      </c>
    </row>
    <row r="69" spans="1:9" x14ac:dyDescent="0.25">
      <c r="A69" s="27" t="s">
        <v>2213</v>
      </c>
      <c r="B69" s="27" t="s">
        <v>111</v>
      </c>
      <c r="C69" s="27">
        <v>0</v>
      </c>
      <c r="D69" s="28">
        <v>43248</v>
      </c>
      <c r="E69" s="27">
        <v>-10643.37</v>
      </c>
      <c r="F69" s="27" t="s">
        <v>928</v>
      </c>
      <c r="G69" s="27" t="s">
        <v>929</v>
      </c>
      <c r="H69" s="27" t="s">
        <v>106</v>
      </c>
      <c r="I69" s="27">
        <v>2</v>
      </c>
    </row>
    <row r="70" spans="1:9" x14ac:dyDescent="0.25">
      <c r="A70" s="27" t="s">
        <v>2213</v>
      </c>
      <c r="B70" s="27" t="s">
        <v>111</v>
      </c>
      <c r="C70" s="27">
        <v>0</v>
      </c>
      <c r="D70" s="28">
        <v>43251</v>
      </c>
      <c r="E70" s="27">
        <v>2700.56</v>
      </c>
      <c r="F70" s="27" t="s">
        <v>930</v>
      </c>
      <c r="G70" s="27" t="s">
        <v>931</v>
      </c>
      <c r="H70" s="27" t="s">
        <v>106</v>
      </c>
      <c r="I70" s="27">
        <v>0</v>
      </c>
    </row>
    <row r="71" spans="1:9" x14ac:dyDescent="0.25">
      <c r="A71" s="27" t="s">
        <v>2213</v>
      </c>
      <c r="B71" s="27" t="s">
        <v>111</v>
      </c>
      <c r="C71" s="27">
        <v>0</v>
      </c>
      <c r="D71" s="28">
        <v>43251</v>
      </c>
      <c r="E71" s="27">
        <v>9372.51</v>
      </c>
      <c r="F71" s="27" t="s">
        <v>932</v>
      </c>
      <c r="G71" s="27" t="s">
        <v>933</v>
      </c>
      <c r="H71" s="27" t="s">
        <v>106</v>
      </c>
      <c r="I71" s="27">
        <v>2</v>
      </c>
    </row>
    <row r="72" spans="1:9" x14ac:dyDescent="0.25">
      <c r="A72" s="27" t="s">
        <v>2213</v>
      </c>
      <c r="B72" s="27" t="s">
        <v>111</v>
      </c>
      <c r="C72" s="27">
        <v>0</v>
      </c>
      <c r="D72" s="28">
        <v>43252</v>
      </c>
      <c r="E72" s="27">
        <v>-1429.7</v>
      </c>
      <c r="F72" s="27" t="s">
        <v>934</v>
      </c>
      <c r="G72" s="27" t="s">
        <v>935</v>
      </c>
      <c r="H72" s="27" t="s">
        <v>106</v>
      </c>
      <c r="I72" s="27">
        <v>0</v>
      </c>
    </row>
    <row r="73" spans="1:9" x14ac:dyDescent="0.25">
      <c r="A73" s="27" t="s">
        <v>2213</v>
      </c>
      <c r="B73" s="27" t="s">
        <v>111</v>
      </c>
      <c r="C73" s="27">
        <v>0</v>
      </c>
      <c r="D73" s="28">
        <v>43255</v>
      </c>
      <c r="E73" s="27">
        <v>23828.43</v>
      </c>
      <c r="F73" s="27" t="s">
        <v>936</v>
      </c>
      <c r="G73" s="27" t="s">
        <v>937</v>
      </c>
      <c r="H73" s="27" t="s">
        <v>106</v>
      </c>
      <c r="I73" s="27">
        <v>2</v>
      </c>
    </row>
    <row r="74" spans="1:9" x14ac:dyDescent="0.25">
      <c r="A74" s="27" t="s">
        <v>2213</v>
      </c>
      <c r="B74" s="27" t="s">
        <v>111</v>
      </c>
      <c r="C74" s="27">
        <v>0</v>
      </c>
      <c r="D74" s="28">
        <v>43256</v>
      </c>
      <c r="E74" s="27">
        <v>23828.44</v>
      </c>
      <c r="F74" s="27" t="s">
        <v>938</v>
      </c>
      <c r="G74" s="27" t="s">
        <v>939</v>
      </c>
      <c r="H74" s="27" t="s">
        <v>106</v>
      </c>
      <c r="I74" s="27">
        <v>0</v>
      </c>
    </row>
    <row r="75" spans="1:9" x14ac:dyDescent="0.25">
      <c r="A75" s="27" t="s">
        <v>2213</v>
      </c>
      <c r="B75" s="27" t="s">
        <v>111</v>
      </c>
      <c r="C75" s="27">
        <v>0</v>
      </c>
      <c r="D75" s="28">
        <v>43256</v>
      </c>
      <c r="E75" s="27">
        <v>-5718.83</v>
      </c>
      <c r="F75" s="27" t="s">
        <v>940</v>
      </c>
      <c r="G75" s="27" t="s">
        <v>941</v>
      </c>
      <c r="H75" s="27" t="s">
        <v>106</v>
      </c>
      <c r="I75" s="27">
        <v>2</v>
      </c>
    </row>
    <row r="76" spans="1:9" x14ac:dyDescent="0.25">
      <c r="A76" s="27" t="s">
        <v>2213</v>
      </c>
      <c r="B76" s="27" t="s">
        <v>111</v>
      </c>
      <c r="C76" s="27">
        <v>0</v>
      </c>
      <c r="D76" s="28">
        <v>43257</v>
      </c>
      <c r="E76" s="27">
        <v>5718.83</v>
      </c>
      <c r="F76" s="27" t="s">
        <v>942</v>
      </c>
      <c r="G76" s="27" t="s">
        <v>943</v>
      </c>
      <c r="H76" s="27" t="s">
        <v>106</v>
      </c>
      <c r="I76" s="27">
        <v>0</v>
      </c>
    </row>
    <row r="77" spans="1:9" x14ac:dyDescent="0.25">
      <c r="A77" s="27" t="s">
        <v>2213</v>
      </c>
      <c r="B77" s="27" t="s">
        <v>111</v>
      </c>
      <c r="C77" s="27">
        <v>0</v>
      </c>
      <c r="D77" s="28">
        <v>43257</v>
      </c>
      <c r="E77" s="27">
        <v>-26449.56</v>
      </c>
      <c r="F77" s="27" t="s">
        <v>944</v>
      </c>
      <c r="G77" s="27" t="s">
        <v>945</v>
      </c>
      <c r="H77" s="27" t="s">
        <v>106</v>
      </c>
      <c r="I77" s="27">
        <v>1</v>
      </c>
    </row>
    <row r="78" spans="1:9" x14ac:dyDescent="0.25">
      <c r="A78" s="27" t="s">
        <v>2213</v>
      </c>
      <c r="B78" s="27" t="s">
        <v>111</v>
      </c>
      <c r="C78" s="27">
        <v>0</v>
      </c>
      <c r="D78" s="28">
        <v>43262</v>
      </c>
      <c r="E78" s="27">
        <v>18506.75</v>
      </c>
      <c r="F78" s="27" t="s">
        <v>946</v>
      </c>
      <c r="G78" s="27" t="s">
        <v>947</v>
      </c>
      <c r="H78" s="27" t="s">
        <v>106</v>
      </c>
      <c r="I78" s="27">
        <v>0</v>
      </c>
    </row>
    <row r="79" spans="1:9" x14ac:dyDescent="0.25">
      <c r="A79" s="27" t="s">
        <v>2213</v>
      </c>
      <c r="B79" s="27" t="s">
        <v>111</v>
      </c>
      <c r="C79" s="27">
        <v>0</v>
      </c>
      <c r="D79" s="28">
        <v>43262</v>
      </c>
      <c r="E79" s="27">
        <v>18586.18</v>
      </c>
      <c r="F79" s="27" t="s">
        <v>948</v>
      </c>
      <c r="G79" s="27" t="s">
        <v>949</v>
      </c>
      <c r="H79" s="27" t="s">
        <v>106</v>
      </c>
      <c r="I79" s="27">
        <v>2</v>
      </c>
    </row>
    <row r="80" spans="1:9" x14ac:dyDescent="0.25">
      <c r="A80" s="27" t="s">
        <v>2213</v>
      </c>
      <c r="B80" s="27" t="s">
        <v>111</v>
      </c>
      <c r="C80" s="27">
        <v>0</v>
      </c>
      <c r="D80" s="28">
        <v>43263</v>
      </c>
      <c r="E80" s="27">
        <v>1270.8499999999999</v>
      </c>
      <c r="F80" s="27" t="s">
        <v>950</v>
      </c>
      <c r="G80" s="27" t="s">
        <v>951</v>
      </c>
      <c r="H80" s="27" t="s">
        <v>106</v>
      </c>
      <c r="I80" s="27">
        <v>0</v>
      </c>
    </row>
    <row r="81" spans="1:9" x14ac:dyDescent="0.25">
      <c r="A81" s="27" t="s">
        <v>2213</v>
      </c>
      <c r="B81" s="27" t="s">
        <v>111</v>
      </c>
      <c r="C81" s="27">
        <v>0</v>
      </c>
      <c r="D81" s="28">
        <v>43263</v>
      </c>
      <c r="E81" s="27">
        <v>24543.29</v>
      </c>
      <c r="F81" s="27" t="s">
        <v>952</v>
      </c>
      <c r="G81" s="27" t="s">
        <v>953</v>
      </c>
      <c r="H81" s="27" t="s">
        <v>106</v>
      </c>
      <c r="I81" s="27">
        <v>2</v>
      </c>
    </row>
    <row r="82" spans="1:9" x14ac:dyDescent="0.25">
      <c r="A82" s="27" t="s">
        <v>2213</v>
      </c>
      <c r="B82" s="27" t="s">
        <v>111</v>
      </c>
      <c r="C82" s="27">
        <v>0</v>
      </c>
      <c r="D82" s="28">
        <v>43264</v>
      </c>
      <c r="E82" s="27">
        <v>-28514.7</v>
      </c>
      <c r="F82" s="27" t="s">
        <v>954</v>
      </c>
      <c r="G82" s="27" t="s">
        <v>955</v>
      </c>
      <c r="H82" s="27" t="s">
        <v>106</v>
      </c>
      <c r="I82" s="27">
        <v>0</v>
      </c>
    </row>
    <row r="83" spans="1:9" x14ac:dyDescent="0.25">
      <c r="A83" s="27" t="s">
        <v>2213</v>
      </c>
      <c r="B83" s="27" t="s">
        <v>111</v>
      </c>
      <c r="C83" s="27">
        <v>0</v>
      </c>
      <c r="D83" s="28">
        <v>43264</v>
      </c>
      <c r="E83" s="27">
        <v>48212.87</v>
      </c>
      <c r="F83" s="27" t="s">
        <v>956</v>
      </c>
      <c r="G83" s="27" t="s">
        <v>957</v>
      </c>
      <c r="H83" s="27" t="s">
        <v>106</v>
      </c>
      <c r="I83" s="27">
        <v>2</v>
      </c>
    </row>
    <row r="84" spans="1:9" x14ac:dyDescent="0.25">
      <c r="A84" s="27" t="s">
        <v>2213</v>
      </c>
      <c r="B84" s="27" t="s">
        <v>111</v>
      </c>
      <c r="C84" s="27">
        <v>0</v>
      </c>
      <c r="D84" s="28">
        <v>43265</v>
      </c>
      <c r="E84" s="27">
        <v>-4527.3999999999996</v>
      </c>
      <c r="F84" s="27" t="s">
        <v>958</v>
      </c>
      <c r="G84" s="27" t="s">
        <v>959</v>
      </c>
      <c r="H84" s="27" t="s">
        <v>106</v>
      </c>
      <c r="I84" s="27">
        <v>0</v>
      </c>
    </row>
    <row r="85" spans="1:9" x14ac:dyDescent="0.25">
      <c r="A85" s="27" t="s">
        <v>2213</v>
      </c>
      <c r="B85" s="27" t="s">
        <v>111</v>
      </c>
      <c r="C85" s="27">
        <v>0</v>
      </c>
      <c r="D85" s="28">
        <v>43265</v>
      </c>
      <c r="E85" s="27">
        <v>2303.41</v>
      </c>
      <c r="F85" s="27" t="s">
        <v>960</v>
      </c>
      <c r="G85" s="27" t="s">
        <v>961</v>
      </c>
      <c r="H85" s="27" t="s">
        <v>106</v>
      </c>
      <c r="I85" s="27">
        <v>2</v>
      </c>
    </row>
    <row r="86" spans="1:9" x14ac:dyDescent="0.25">
      <c r="A86" s="27" t="s">
        <v>2213</v>
      </c>
      <c r="B86" s="27" t="s">
        <v>111</v>
      </c>
      <c r="C86" s="27">
        <v>0</v>
      </c>
      <c r="D86" s="28">
        <v>43266</v>
      </c>
      <c r="E86" s="27">
        <v>-22160.44</v>
      </c>
      <c r="F86" s="27" t="s">
        <v>962</v>
      </c>
      <c r="G86" s="27" t="s">
        <v>963</v>
      </c>
      <c r="H86" s="27" t="s">
        <v>106</v>
      </c>
      <c r="I86" s="27">
        <v>0</v>
      </c>
    </row>
    <row r="87" spans="1:9" x14ac:dyDescent="0.25">
      <c r="A87" s="27" t="s">
        <v>2213</v>
      </c>
      <c r="B87" s="27" t="s">
        <v>111</v>
      </c>
      <c r="C87" s="27">
        <v>0</v>
      </c>
      <c r="D87" s="28">
        <v>43266</v>
      </c>
      <c r="E87" s="27">
        <v>397.14</v>
      </c>
      <c r="F87" s="27" t="s">
        <v>964</v>
      </c>
      <c r="G87" s="27" t="s">
        <v>965</v>
      </c>
      <c r="H87" s="27" t="s">
        <v>106</v>
      </c>
      <c r="I87" s="27">
        <v>2</v>
      </c>
    </row>
    <row r="88" spans="1:9" x14ac:dyDescent="0.25">
      <c r="A88" s="27" t="s">
        <v>2213</v>
      </c>
      <c r="B88" s="27" t="s">
        <v>111</v>
      </c>
      <c r="C88" s="27">
        <v>0</v>
      </c>
      <c r="D88" s="28">
        <v>43271</v>
      </c>
      <c r="E88" s="27">
        <v>-55996.83</v>
      </c>
      <c r="F88" s="27" t="s">
        <v>966</v>
      </c>
      <c r="G88" s="27" t="s">
        <v>967</v>
      </c>
      <c r="H88" s="27" t="s">
        <v>106</v>
      </c>
      <c r="I88" s="27">
        <v>0</v>
      </c>
    </row>
    <row r="89" spans="1:9" x14ac:dyDescent="0.25">
      <c r="A89" s="27" t="s">
        <v>2213</v>
      </c>
      <c r="B89" s="27" t="s">
        <v>111</v>
      </c>
      <c r="C89" s="27">
        <v>0</v>
      </c>
      <c r="D89" s="28">
        <v>43271</v>
      </c>
      <c r="E89" s="27">
        <v>83240.67</v>
      </c>
      <c r="F89" s="27" t="s">
        <v>968</v>
      </c>
      <c r="G89" s="27" t="s">
        <v>969</v>
      </c>
      <c r="H89" s="27" t="s">
        <v>106</v>
      </c>
      <c r="I89" s="27">
        <v>1</v>
      </c>
    </row>
    <row r="90" spans="1:9" x14ac:dyDescent="0.25">
      <c r="A90" s="27" t="s">
        <v>2213</v>
      </c>
      <c r="B90" s="27" t="s">
        <v>111</v>
      </c>
      <c r="C90" s="27">
        <v>0</v>
      </c>
      <c r="D90" s="28">
        <v>43272</v>
      </c>
      <c r="E90" s="27">
        <v>12073.08</v>
      </c>
      <c r="F90" s="27" t="s">
        <v>970</v>
      </c>
      <c r="G90" s="27" t="s">
        <v>971</v>
      </c>
      <c r="H90" s="27" t="s">
        <v>106</v>
      </c>
      <c r="I90" s="27">
        <v>0</v>
      </c>
    </row>
    <row r="91" spans="1:9" x14ac:dyDescent="0.25">
      <c r="A91" s="27" t="s">
        <v>2213</v>
      </c>
      <c r="B91" s="27" t="s">
        <v>111</v>
      </c>
      <c r="C91" s="27">
        <v>0</v>
      </c>
      <c r="D91" s="28">
        <v>43272</v>
      </c>
      <c r="E91" s="27">
        <v>27958.69</v>
      </c>
      <c r="F91" s="27" t="s">
        <v>972</v>
      </c>
      <c r="G91" s="27" t="s">
        <v>973</v>
      </c>
      <c r="H91" s="27" t="s">
        <v>106</v>
      </c>
      <c r="I91" s="27">
        <v>2</v>
      </c>
    </row>
    <row r="92" spans="1:9" x14ac:dyDescent="0.25">
      <c r="A92" s="27" t="s">
        <v>2213</v>
      </c>
      <c r="B92" s="27" t="s">
        <v>111</v>
      </c>
      <c r="C92" s="27">
        <v>0</v>
      </c>
      <c r="D92" s="28">
        <v>43272</v>
      </c>
      <c r="E92" s="27">
        <v>-91739.47</v>
      </c>
      <c r="F92" s="27" t="s">
        <v>974</v>
      </c>
      <c r="G92" s="27" t="s">
        <v>975</v>
      </c>
      <c r="H92" s="27" t="s">
        <v>106</v>
      </c>
      <c r="I92" s="27">
        <v>7</v>
      </c>
    </row>
    <row r="93" spans="1:9" x14ac:dyDescent="0.25">
      <c r="A93" s="27" t="s">
        <v>2213</v>
      </c>
      <c r="B93" s="27" t="s">
        <v>111</v>
      </c>
      <c r="C93" s="27">
        <v>0</v>
      </c>
      <c r="D93" s="28">
        <v>43273</v>
      </c>
      <c r="E93" s="27">
        <v>222637.01</v>
      </c>
      <c r="F93" s="27" t="s">
        <v>976</v>
      </c>
      <c r="G93" s="27" t="s">
        <v>977</v>
      </c>
      <c r="H93" s="27" t="s">
        <v>106</v>
      </c>
      <c r="I93" s="27">
        <v>0</v>
      </c>
    </row>
    <row r="94" spans="1:9" x14ac:dyDescent="0.25">
      <c r="A94" s="27" t="s">
        <v>2213</v>
      </c>
      <c r="B94" s="27" t="s">
        <v>111</v>
      </c>
      <c r="C94" s="27">
        <v>0</v>
      </c>
      <c r="D94" s="28">
        <v>43273</v>
      </c>
      <c r="E94" s="27">
        <v>-10484.51</v>
      </c>
      <c r="F94" s="27" t="s">
        <v>978</v>
      </c>
      <c r="G94" s="27" t="s">
        <v>979</v>
      </c>
      <c r="H94" s="27" t="s">
        <v>106</v>
      </c>
      <c r="I94" s="27">
        <v>2</v>
      </c>
    </row>
    <row r="95" spans="1:9" x14ac:dyDescent="0.25">
      <c r="A95" s="27" t="s">
        <v>2213</v>
      </c>
      <c r="B95" s="27" t="s">
        <v>111</v>
      </c>
      <c r="C95" s="27">
        <v>0</v>
      </c>
      <c r="D95" s="28">
        <v>43276</v>
      </c>
      <c r="E95" s="27">
        <v>74027</v>
      </c>
      <c r="F95" s="27" t="s">
        <v>980</v>
      </c>
      <c r="G95" s="27" t="s">
        <v>981</v>
      </c>
      <c r="H95" s="27" t="s">
        <v>106</v>
      </c>
      <c r="I95" s="27">
        <v>0</v>
      </c>
    </row>
    <row r="96" spans="1:9" x14ac:dyDescent="0.25">
      <c r="A96" s="27" t="s">
        <v>2213</v>
      </c>
      <c r="B96" s="27" t="s">
        <v>111</v>
      </c>
      <c r="C96" s="27">
        <v>0</v>
      </c>
      <c r="D96" s="28">
        <v>43276</v>
      </c>
      <c r="E96" s="27">
        <v>14932.49</v>
      </c>
      <c r="F96" s="27" t="s">
        <v>982</v>
      </c>
      <c r="G96" s="27" t="s">
        <v>983</v>
      </c>
      <c r="H96" s="27" t="s">
        <v>106</v>
      </c>
      <c r="I96" s="27">
        <v>2</v>
      </c>
    </row>
    <row r="97" spans="1:9" x14ac:dyDescent="0.25">
      <c r="A97" s="27" t="s">
        <v>2213</v>
      </c>
      <c r="B97" s="27" t="s">
        <v>111</v>
      </c>
      <c r="C97" s="27">
        <v>0</v>
      </c>
      <c r="D97" s="28">
        <v>43276</v>
      </c>
      <c r="E97" s="27">
        <v>-130818.11</v>
      </c>
      <c r="F97" s="27" t="s">
        <v>984</v>
      </c>
      <c r="G97" s="27" t="s">
        <v>985</v>
      </c>
      <c r="H97" s="27" t="s">
        <v>106</v>
      </c>
      <c r="I97" s="27">
        <v>6</v>
      </c>
    </row>
    <row r="98" spans="1:9" x14ac:dyDescent="0.25">
      <c r="A98" s="27" t="s">
        <v>2213</v>
      </c>
      <c r="B98" s="27" t="s">
        <v>111</v>
      </c>
      <c r="C98" s="27">
        <v>0</v>
      </c>
      <c r="D98" s="28">
        <v>43277</v>
      </c>
      <c r="E98" s="27">
        <v>131771.25</v>
      </c>
      <c r="F98" s="27" t="s">
        <v>986</v>
      </c>
      <c r="G98" s="27" t="s">
        <v>987</v>
      </c>
      <c r="H98" s="27" t="s">
        <v>106</v>
      </c>
      <c r="I98" s="27">
        <v>0</v>
      </c>
    </row>
    <row r="99" spans="1:9" x14ac:dyDescent="0.25">
      <c r="A99" s="27" t="s">
        <v>2213</v>
      </c>
      <c r="B99" s="27" t="s">
        <v>111</v>
      </c>
      <c r="C99" s="27">
        <v>0</v>
      </c>
      <c r="D99" s="28">
        <v>43277</v>
      </c>
      <c r="E99" s="27">
        <v>-122319.3</v>
      </c>
      <c r="F99" s="27" t="s">
        <v>988</v>
      </c>
      <c r="G99" s="27" t="s">
        <v>989</v>
      </c>
      <c r="H99" s="27" t="s">
        <v>106</v>
      </c>
      <c r="I99" s="27">
        <v>2</v>
      </c>
    </row>
    <row r="100" spans="1:9" x14ac:dyDescent="0.25">
      <c r="A100" s="27" t="s">
        <v>2213</v>
      </c>
      <c r="B100" s="27" t="s">
        <v>111</v>
      </c>
      <c r="C100" s="27">
        <v>0</v>
      </c>
      <c r="D100" s="28">
        <v>43280</v>
      </c>
      <c r="E100" s="27">
        <v>-56393.97</v>
      </c>
      <c r="F100" s="27" t="s">
        <v>990</v>
      </c>
      <c r="G100" s="27" t="s">
        <v>991</v>
      </c>
      <c r="H100" s="27" t="s">
        <v>106</v>
      </c>
      <c r="I100" s="27">
        <v>0</v>
      </c>
    </row>
    <row r="101" spans="1:9" x14ac:dyDescent="0.25">
      <c r="A101" s="27" t="s">
        <v>2213</v>
      </c>
      <c r="B101" s="27" t="s">
        <v>111</v>
      </c>
      <c r="C101" s="27">
        <v>0</v>
      </c>
      <c r="D101" s="28">
        <v>43280</v>
      </c>
      <c r="E101" s="27">
        <v>99285.15</v>
      </c>
      <c r="F101" s="27" t="s">
        <v>992</v>
      </c>
      <c r="G101" s="27" t="s">
        <v>993</v>
      </c>
      <c r="H101" s="27" t="s">
        <v>106</v>
      </c>
      <c r="I101" s="27">
        <v>1</v>
      </c>
    </row>
    <row r="102" spans="1:9" x14ac:dyDescent="0.25">
      <c r="A102" s="27" t="s">
        <v>2213</v>
      </c>
      <c r="B102" s="27" t="s">
        <v>111</v>
      </c>
      <c r="C102" s="27">
        <v>0</v>
      </c>
      <c r="D102" s="28">
        <v>43280</v>
      </c>
      <c r="E102" s="27">
        <v>33598.089999999997</v>
      </c>
      <c r="F102" s="27" t="s">
        <v>994</v>
      </c>
      <c r="G102" s="27" t="s">
        <v>995</v>
      </c>
      <c r="H102" s="27" t="s">
        <v>106</v>
      </c>
      <c r="I102" s="27">
        <v>2</v>
      </c>
    </row>
    <row r="103" spans="1:9" x14ac:dyDescent="0.25">
      <c r="A103" s="27" t="s">
        <v>2213</v>
      </c>
      <c r="B103" s="27" t="s">
        <v>111</v>
      </c>
      <c r="C103" s="27">
        <v>0</v>
      </c>
      <c r="D103" s="28">
        <v>43283</v>
      </c>
      <c r="E103" s="27">
        <v>105401.12</v>
      </c>
      <c r="F103" s="27" t="s">
        <v>996</v>
      </c>
      <c r="G103" s="27" t="s">
        <v>997</v>
      </c>
      <c r="H103" s="27" t="s">
        <v>106</v>
      </c>
      <c r="I103" s="27">
        <v>0</v>
      </c>
    </row>
    <row r="104" spans="1:9" x14ac:dyDescent="0.25">
      <c r="A104" s="27" t="s">
        <v>2213</v>
      </c>
      <c r="B104" s="27" t="s">
        <v>111</v>
      </c>
      <c r="C104" s="27">
        <v>0</v>
      </c>
      <c r="D104" s="28">
        <v>43283</v>
      </c>
      <c r="E104" s="27">
        <v>35345.51</v>
      </c>
      <c r="F104" s="27" t="s">
        <v>998</v>
      </c>
      <c r="G104" s="27" t="s">
        <v>999</v>
      </c>
      <c r="H104" s="27" t="s">
        <v>106</v>
      </c>
      <c r="I104" s="27">
        <v>2</v>
      </c>
    </row>
    <row r="105" spans="1:9" x14ac:dyDescent="0.25">
      <c r="A105" s="27" t="s">
        <v>2213</v>
      </c>
      <c r="B105" s="27" t="s">
        <v>111</v>
      </c>
      <c r="C105" s="27">
        <v>0</v>
      </c>
      <c r="D105" s="28">
        <v>43284</v>
      </c>
      <c r="E105" s="27">
        <v>-372915.01</v>
      </c>
      <c r="F105" s="27" t="s">
        <v>1000</v>
      </c>
      <c r="G105" s="27" t="s">
        <v>1001</v>
      </c>
      <c r="H105" s="27" t="s">
        <v>106</v>
      </c>
      <c r="I105" s="27">
        <v>0</v>
      </c>
    </row>
    <row r="106" spans="1:9" x14ac:dyDescent="0.25">
      <c r="A106" s="27" t="s">
        <v>2213</v>
      </c>
      <c r="B106" s="27" t="s">
        <v>111</v>
      </c>
      <c r="C106" s="27">
        <v>0</v>
      </c>
      <c r="D106" s="28">
        <v>43284</v>
      </c>
      <c r="E106" s="27">
        <v>-25019.86</v>
      </c>
      <c r="F106" s="27" t="s">
        <v>1002</v>
      </c>
      <c r="G106" s="27" t="s">
        <v>1003</v>
      </c>
      <c r="H106" s="27" t="s">
        <v>106</v>
      </c>
      <c r="I106" s="27">
        <v>2</v>
      </c>
    </row>
    <row r="107" spans="1:9" x14ac:dyDescent="0.25">
      <c r="A107" s="27" t="s">
        <v>2213</v>
      </c>
      <c r="B107" s="27" t="s">
        <v>111</v>
      </c>
      <c r="C107" s="27">
        <v>0</v>
      </c>
      <c r="D107" s="28">
        <v>43285</v>
      </c>
      <c r="E107" s="27">
        <v>-30579.83</v>
      </c>
      <c r="F107" s="27" t="s">
        <v>1004</v>
      </c>
      <c r="G107" s="27" t="s">
        <v>1005</v>
      </c>
      <c r="H107" s="27" t="s">
        <v>106</v>
      </c>
      <c r="I107" s="27">
        <v>0</v>
      </c>
    </row>
    <row r="108" spans="1:9" x14ac:dyDescent="0.25">
      <c r="A108" s="27" t="s">
        <v>2213</v>
      </c>
      <c r="B108" s="27" t="s">
        <v>111</v>
      </c>
      <c r="C108" s="27">
        <v>0</v>
      </c>
      <c r="D108" s="28">
        <v>43285</v>
      </c>
      <c r="E108" s="27">
        <v>-15885.62</v>
      </c>
      <c r="F108" s="27" t="s">
        <v>1006</v>
      </c>
      <c r="G108" s="27" t="s">
        <v>1007</v>
      </c>
      <c r="H108" s="27" t="s">
        <v>106</v>
      </c>
      <c r="I108" s="27">
        <v>1</v>
      </c>
    </row>
    <row r="109" spans="1:9" x14ac:dyDescent="0.25">
      <c r="A109" s="27" t="s">
        <v>2213</v>
      </c>
      <c r="B109" s="27" t="s">
        <v>111</v>
      </c>
      <c r="C109" s="27">
        <v>0</v>
      </c>
      <c r="D109" s="28">
        <v>43285</v>
      </c>
      <c r="E109" s="27">
        <v>-15647.34</v>
      </c>
      <c r="F109" s="27" t="s">
        <v>1008</v>
      </c>
      <c r="G109" s="27" t="s">
        <v>1009</v>
      </c>
      <c r="H109" s="27" t="s">
        <v>106</v>
      </c>
      <c r="I109" s="27">
        <v>2</v>
      </c>
    </row>
    <row r="110" spans="1:9" x14ac:dyDescent="0.25">
      <c r="A110" s="27" t="s">
        <v>2213</v>
      </c>
      <c r="B110" s="27" t="s">
        <v>111</v>
      </c>
      <c r="C110" s="27">
        <v>0</v>
      </c>
      <c r="D110" s="28">
        <v>43286</v>
      </c>
      <c r="E110" s="27">
        <v>-8181.09</v>
      </c>
      <c r="F110" s="27" t="s">
        <v>1010</v>
      </c>
      <c r="G110" s="27" t="s">
        <v>1011</v>
      </c>
      <c r="H110" s="27" t="s">
        <v>106</v>
      </c>
      <c r="I110" s="27">
        <v>0</v>
      </c>
    </row>
    <row r="111" spans="1:9" x14ac:dyDescent="0.25">
      <c r="A111" s="27" t="s">
        <v>2213</v>
      </c>
      <c r="B111" s="27" t="s">
        <v>111</v>
      </c>
      <c r="C111" s="27">
        <v>0</v>
      </c>
      <c r="D111" s="28">
        <v>43286</v>
      </c>
      <c r="E111" s="27">
        <v>-5480.54</v>
      </c>
      <c r="F111" s="27" t="s">
        <v>1012</v>
      </c>
      <c r="G111" s="27" t="s">
        <v>1013</v>
      </c>
      <c r="H111" s="27" t="s">
        <v>106</v>
      </c>
      <c r="I111" s="27">
        <v>2</v>
      </c>
    </row>
    <row r="112" spans="1:9" x14ac:dyDescent="0.25">
      <c r="A112" s="27" t="s">
        <v>2213</v>
      </c>
      <c r="B112" s="27" t="s">
        <v>111</v>
      </c>
      <c r="C112" s="27">
        <v>0</v>
      </c>
      <c r="D112" s="28">
        <v>43291</v>
      </c>
      <c r="E112" s="27">
        <v>4686.25</v>
      </c>
      <c r="F112" s="27" t="s">
        <v>1014</v>
      </c>
      <c r="G112" s="27" t="s">
        <v>1015</v>
      </c>
      <c r="H112" s="27" t="s">
        <v>106</v>
      </c>
      <c r="I112" s="27">
        <v>0</v>
      </c>
    </row>
    <row r="113" spans="1:9" x14ac:dyDescent="0.25">
      <c r="A113" s="27" t="s">
        <v>2213</v>
      </c>
      <c r="B113" s="27" t="s">
        <v>111</v>
      </c>
      <c r="C113" s="27">
        <v>0</v>
      </c>
      <c r="D113" s="28">
        <v>43291</v>
      </c>
      <c r="E113" s="27">
        <v>-3335.98</v>
      </c>
      <c r="F113" s="27" t="s">
        <v>1016</v>
      </c>
      <c r="G113" s="27" t="s">
        <v>1017</v>
      </c>
      <c r="H113" s="27" t="s">
        <v>106</v>
      </c>
      <c r="I113" s="27">
        <v>2</v>
      </c>
    </row>
    <row r="114" spans="1:9" x14ac:dyDescent="0.25">
      <c r="A114" s="27" t="s">
        <v>2213</v>
      </c>
      <c r="B114" s="27" t="s">
        <v>111</v>
      </c>
      <c r="C114" s="27">
        <v>0</v>
      </c>
      <c r="D114" s="28">
        <v>43292</v>
      </c>
      <c r="E114" s="27">
        <v>158.86000000000001</v>
      </c>
      <c r="F114" s="27" t="s">
        <v>1018</v>
      </c>
      <c r="G114" s="27" t="s">
        <v>1019</v>
      </c>
      <c r="H114" s="27" t="s">
        <v>106</v>
      </c>
      <c r="I114" s="27">
        <v>0</v>
      </c>
    </row>
    <row r="115" spans="1:9" x14ac:dyDescent="0.25">
      <c r="A115" s="27" t="s">
        <v>2213</v>
      </c>
      <c r="B115" s="27" t="s">
        <v>111</v>
      </c>
      <c r="C115" s="27">
        <v>0</v>
      </c>
      <c r="D115" s="28">
        <v>43292</v>
      </c>
      <c r="E115" s="27">
        <v>-1747.42</v>
      </c>
      <c r="F115" s="27" t="s">
        <v>1020</v>
      </c>
      <c r="G115" s="27" t="s">
        <v>1021</v>
      </c>
      <c r="H115" s="27" t="s">
        <v>106</v>
      </c>
      <c r="I115" s="27">
        <v>2</v>
      </c>
    </row>
    <row r="116" spans="1:9" x14ac:dyDescent="0.25">
      <c r="A116" s="27" t="s">
        <v>2213</v>
      </c>
      <c r="B116" s="27" t="s">
        <v>111</v>
      </c>
      <c r="C116" s="27">
        <v>0</v>
      </c>
      <c r="D116" s="28">
        <v>43293</v>
      </c>
      <c r="E116" s="27">
        <v>-2223.9899999999998</v>
      </c>
      <c r="F116" s="27" t="s">
        <v>1022</v>
      </c>
      <c r="G116" s="27" t="s">
        <v>1023</v>
      </c>
      <c r="H116" s="27" t="s">
        <v>106</v>
      </c>
      <c r="I116" s="27">
        <v>0</v>
      </c>
    </row>
    <row r="117" spans="1:9" x14ac:dyDescent="0.25">
      <c r="A117" s="27" t="s">
        <v>2213</v>
      </c>
      <c r="B117" s="27" t="s">
        <v>111</v>
      </c>
      <c r="C117" s="27">
        <v>0</v>
      </c>
      <c r="D117" s="28">
        <v>43293</v>
      </c>
      <c r="E117" s="27">
        <v>635.42999999999995</v>
      </c>
      <c r="F117" s="27" t="s">
        <v>1024</v>
      </c>
      <c r="G117" s="27" t="s">
        <v>1025</v>
      </c>
      <c r="H117" s="27" t="s">
        <v>106</v>
      </c>
      <c r="I117" s="27">
        <v>2</v>
      </c>
    </row>
    <row r="118" spans="1:9" x14ac:dyDescent="0.25">
      <c r="A118" s="27" t="s">
        <v>2213</v>
      </c>
      <c r="B118" s="27" t="s">
        <v>111</v>
      </c>
      <c r="C118" s="27">
        <v>0</v>
      </c>
      <c r="D118" s="28">
        <v>43294</v>
      </c>
      <c r="E118" s="27">
        <v>-635.42999999999995</v>
      </c>
      <c r="F118" s="27" t="s">
        <v>1026</v>
      </c>
      <c r="G118" s="27" t="s">
        <v>1027</v>
      </c>
      <c r="H118" s="27" t="s">
        <v>106</v>
      </c>
      <c r="I118" s="27">
        <v>0</v>
      </c>
    </row>
    <row r="119" spans="1:9" x14ac:dyDescent="0.25">
      <c r="A119" s="27" t="s">
        <v>2213</v>
      </c>
      <c r="B119" s="27" t="s">
        <v>111</v>
      </c>
      <c r="C119" s="27">
        <v>0</v>
      </c>
      <c r="D119" s="28">
        <v>43294</v>
      </c>
      <c r="E119" s="27">
        <v>-635.41999999999996</v>
      </c>
      <c r="F119" s="27" t="s">
        <v>1028</v>
      </c>
      <c r="G119" s="27" t="s">
        <v>1029</v>
      </c>
      <c r="H119" s="27" t="s">
        <v>106</v>
      </c>
      <c r="I119" s="27">
        <v>2</v>
      </c>
    </row>
    <row r="120" spans="1:9" x14ac:dyDescent="0.25">
      <c r="A120" s="27" t="s">
        <v>2213</v>
      </c>
      <c r="B120" s="27" t="s">
        <v>111</v>
      </c>
      <c r="C120" s="27">
        <v>0</v>
      </c>
      <c r="D120" s="28">
        <v>43297</v>
      </c>
      <c r="E120" s="27">
        <v>8578.24</v>
      </c>
      <c r="F120" s="27" t="s">
        <v>1030</v>
      </c>
      <c r="G120" s="27" t="s">
        <v>1031</v>
      </c>
      <c r="H120" s="27" t="s">
        <v>106</v>
      </c>
      <c r="I120" s="27">
        <v>0</v>
      </c>
    </row>
    <row r="121" spans="1:9" x14ac:dyDescent="0.25">
      <c r="A121" s="27" t="s">
        <v>2213</v>
      </c>
      <c r="B121" s="27" t="s">
        <v>111</v>
      </c>
      <c r="C121" s="27">
        <v>0</v>
      </c>
      <c r="D121" s="28">
        <v>43297</v>
      </c>
      <c r="E121" s="27">
        <v>-10246.23</v>
      </c>
      <c r="F121" s="27" t="s">
        <v>1032</v>
      </c>
      <c r="G121" s="27" t="s">
        <v>1033</v>
      </c>
      <c r="H121" s="27" t="s">
        <v>106</v>
      </c>
      <c r="I121" s="27">
        <v>2</v>
      </c>
    </row>
    <row r="122" spans="1:9" x14ac:dyDescent="0.25">
      <c r="A122" s="27" t="s">
        <v>2213</v>
      </c>
      <c r="B122" s="27" t="s">
        <v>111</v>
      </c>
      <c r="C122" s="27">
        <v>0</v>
      </c>
      <c r="D122" s="28">
        <v>43300</v>
      </c>
      <c r="E122" s="27">
        <v>14217.63</v>
      </c>
      <c r="F122" s="27" t="s">
        <v>1034</v>
      </c>
      <c r="G122" s="27" t="s">
        <v>1035</v>
      </c>
      <c r="H122" s="27" t="s">
        <v>106</v>
      </c>
      <c r="I122" s="27">
        <v>0</v>
      </c>
    </row>
    <row r="123" spans="1:9" x14ac:dyDescent="0.25">
      <c r="A123" s="27" t="s">
        <v>2213</v>
      </c>
      <c r="B123" s="27" t="s">
        <v>111</v>
      </c>
      <c r="C123" s="27">
        <v>0</v>
      </c>
      <c r="D123" s="28">
        <v>43301</v>
      </c>
      <c r="E123" s="27">
        <v>-3971.4</v>
      </c>
      <c r="F123" s="27" t="s">
        <v>1036</v>
      </c>
      <c r="G123" s="27" t="s">
        <v>1037</v>
      </c>
      <c r="H123" s="27" t="s">
        <v>106</v>
      </c>
      <c r="I123" s="27">
        <v>0</v>
      </c>
    </row>
    <row r="124" spans="1:9" x14ac:dyDescent="0.25">
      <c r="A124" s="27" t="s">
        <v>2213</v>
      </c>
      <c r="B124" s="27" t="s">
        <v>111</v>
      </c>
      <c r="C124" s="27">
        <v>0</v>
      </c>
      <c r="D124" s="28">
        <v>43301</v>
      </c>
      <c r="E124" s="27">
        <v>-1032.57</v>
      </c>
      <c r="F124" s="27" t="s">
        <v>1038</v>
      </c>
      <c r="G124" s="27" t="s">
        <v>1039</v>
      </c>
      <c r="H124" s="27" t="s">
        <v>106</v>
      </c>
      <c r="I124" s="27">
        <v>2</v>
      </c>
    </row>
    <row r="125" spans="1:9" x14ac:dyDescent="0.25">
      <c r="A125" s="27" t="s">
        <v>2213</v>
      </c>
      <c r="B125" s="27" t="s">
        <v>111</v>
      </c>
      <c r="C125" s="27">
        <v>0</v>
      </c>
      <c r="D125" s="28">
        <v>43304</v>
      </c>
      <c r="E125" s="27">
        <v>8975.3799999999992</v>
      </c>
      <c r="F125" s="27" t="s">
        <v>1040</v>
      </c>
      <c r="G125" s="27" t="s">
        <v>1041</v>
      </c>
      <c r="H125" s="27" t="s">
        <v>106</v>
      </c>
      <c r="I125" s="27">
        <v>0</v>
      </c>
    </row>
    <row r="126" spans="1:9" x14ac:dyDescent="0.25">
      <c r="A126" s="27" t="s">
        <v>2213</v>
      </c>
      <c r="B126" s="27" t="s">
        <v>111</v>
      </c>
      <c r="C126" s="27">
        <v>0</v>
      </c>
      <c r="D126" s="28">
        <v>43304</v>
      </c>
      <c r="E126" s="27">
        <v>1985.7</v>
      </c>
      <c r="F126" s="27" t="s">
        <v>1042</v>
      </c>
      <c r="G126" s="27" t="s">
        <v>1043</v>
      </c>
      <c r="H126" s="27" t="s">
        <v>106</v>
      </c>
      <c r="I126" s="27">
        <v>2</v>
      </c>
    </row>
    <row r="127" spans="1:9" x14ac:dyDescent="0.25">
      <c r="A127" s="27" t="s">
        <v>2213</v>
      </c>
      <c r="B127" s="27" t="s">
        <v>111</v>
      </c>
      <c r="C127" s="27">
        <v>0</v>
      </c>
      <c r="D127" s="28">
        <v>43305</v>
      </c>
      <c r="E127" s="27">
        <v>13899.92</v>
      </c>
      <c r="F127" s="27" t="s">
        <v>1044</v>
      </c>
      <c r="G127" s="27" t="s">
        <v>1045</v>
      </c>
      <c r="H127" s="27" t="s">
        <v>106</v>
      </c>
      <c r="I127" s="27">
        <v>0</v>
      </c>
    </row>
    <row r="128" spans="1:9" x14ac:dyDescent="0.25">
      <c r="A128" s="27" t="s">
        <v>2213</v>
      </c>
      <c r="B128" s="27" t="s">
        <v>111</v>
      </c>
      <c r="C128" s="27">
        <v>0</v>
      </c>
      <c r="D128" s="28">
        <v>43305</v>
      </c>
      <c r="E128" s="27">
        <v>-11834.79</v>
      </c>
      <c r="F128" s="27" t="s">
        <v>1046</v>
      </c>
      <c r="G128" s="27" t="s">
        <v>1047</v>
      </c>
      <c r="H128" s="27" t="s">
        <v>106</v>
      </c>
      <c r="I128" s="27">
        <v>2</v>
      </c>
    </row>
    <row r="129" spans="1:9" x14ac:dyDescent="0.25">
      <c r="A129" s="27" t="s">
        <v>2213</v>
      </c>
      <c r="B129" s="27" t="s">
        <v>111</v>
      </c>
      <c r="C129" s="27">
        <v>0</v>
      </c>
      <c r="D129" s="28">
        <v>43306</v>
      </c>
      <c r="E129" s="27">
        <v>7069.1</v>
      </c>
      <c r="F129" s="27" t="s">
        <v>1048</v>
      </c>
      <c r="G129" s="27" t="s">
        <v>1049</v>
      </c>
      <c r="H129" s="27" t="s">
        <v>106</v>
      </c>
      <c r="I129" s="27">
        <v>0</v>
      </c>
    </row>
    <row r="130" spans="1:9" x14ac:dyDescent="0.25">
      <c r="A130" s="27" t="s">
        <v>2213</v>
      </c>
      <c r="B130" s="27" t="s">
        <v>111</v>
      </c>
      <c r="C130" s="27">
        <v>0</v>
      </c>
      <c r="D130" s="28">
        <v>43306</v>
      </c>
      <c r="E130" s="27">
        <v>-4924.54</v>
      </c>
      <c r="F130" s="27" t="s">
        <v>1050</v>
      </c>
      <c r="G130" s="27" t="s">
        <v>1051</v>
      </c>
      <c r="H130" s="27" t="s">
        <v>106</v>
      </c>
      <c r="I130" s="27">
        <v>2</v>
      </c>
    </row>
    <row r="131" spans="1:9" x14ac:dyDescent="0.25">
      <c r="A131" s="27" t="s">
        <v>2213</v>
      </c>
      <c r="B131" s="27" t="s">
        <v>111</v>
      </c>
      <c r="C131" s="27">
        <v>0</v>
      </c>
      <c r="D131" s="28">
        <v>43311</v>
      </c>
      <c r="E131" s="27">
        <v>1747.42</v>
      </c>
      <c r="F131" s="27" t="s">
        <v>1052</v>
      </c>
      <c r="G131" s="27" t="s">
        <v>1053</v>
      </c>
      <c r="H131" s="27" t="s">
        <v>106</v>
      </c>
      <c r="I131" s="27">
        <v>0</v>
      </c>
    </row>
    <row r="132" spans="1:9" x14ac:dyDescent="0.25">
      <c r="A132" s="27" t="s">
        <v>2213</v>
      </c>
      <c r="B132" s="27" t="s">
        <v>111</v>
      </c>
      <c r="C132" s="27">
        <v>0</v>
      </c>
      <c r="D132" s="28">
        <v>43311</v>
      </c>
      <c r="E132" s="27">
        <v>12787.93</v>
      </c>
      <c r="F132" s="27" t="s">
        <v>1054</v>
      </c>
      <c r="G132" s="27" t="s">
        <v>1055</v>
      </c>
      <c r="H132" s="27" t="s">
        <v>106</v>
      </c>
      <c r="I132" s="27">
        <v>2</v>
      </c>
    </row>
    <row r="133" spans="1:9" x14ac:dyDescent="0.25">
      <c r="A133" s="27" t="s">
        <v>2213</v>
      </c>
      <c r="B133" s="27" t="s">
        <v>111</v>
      </c>
      <c r="C133" s="27">
        <v>0</v>
      </c>
      <c r="D133" s="28">
        <v>43312</v>
      </c>
      <c r="E133" s="27">
        <v>-28673.55</v>
      </c>
      <c r="F133" s="27" t="s">
        <v>1056</v>
      </c>
      <c r="G133" s="27" t="s">
        <v>1057</v>
      </c>
      <c r="H133" s="27" t="s">
        <v>106</v>
      </c>
      <c r="I133" s="27">
        <v>0</v>
      </c>
    </row>
    <row r="134" spans="1:9" x14ac:dyDescent="0.25">
      <c r="A134" s="27" t="s">
        <v>2213</v>
      </c>
      <c r="B134" s="27" t="s">
        <v>111</v>
      </c>
      <c r="C134" s="27">
        <v>0</v>
      </c>
      <c r="D134" s="28">
        <v>43312</v>
      </c>
      <c r="E134" s="27">
        <v>25019.85</v>
      </c>
      <c r="F134" s="27" t="s">
        <v>1058</v>
      </c>
      <c r="G134" s="27" t="s">
        <v>1059</v>
      </c>
      <c r="H134" s="27" t="s">
        <v>106</v>
      </c>
      <c r="I134" s="27">
        <v>2</v>
      </c>
    </row>
    <row r="135" spans="1:9" x14ac:dyDescent="0.25">
      <c r="A135" s="27" t="s">
        <v>2213</v>
      </c>
      <c r="B135" s="27" t="s">
        <v>111</v>
      </c>
      <c r="C135" s="27">
        <v>0</v>
      </c>
      <c r="D135" s="28">
        <v>43313</v>
      </c>
      <c r="E135" s="27">
        <v>-17077.04</v>
      </c>
      <c r="F135" s="27" t="s">
        <v>1060</v>
      </c>
      <c r="G135" s="27" t="s">
        <v>1061</v>
      </c>
      <c r="H135" s="27" t="s">
        <v>106</v>
      </c>
      <c r="I135" s="27">
        <v>0</v>
      </c>
    </row>
    <row r="136" spans="1:9" x14ac:dyDescent="0.25">
      <c r="A136" s="27" t="s">
        <v>2213</v>
      </c>
      <c r="B136" s="27" t="s">
        <v>111</v>
      </c>
      <c r="C136" s="27">
        <v>0</v>
      </c>
      <c r="D136" s="28">
        <v>43313</v>
      </c>
      <c r="E136" s="27">
        <v>-8022.24</v>
      </c>
      <c r="F136" s="27" t="s">
        <v>1062</v>
      </c>
      <c r="G136" s="27" t="s">
        <v>1063</v>
      </c>
      <c r="H136" s="27" t="s">
        <v>106</v>
      </c>
      <c r="I136" s="27">
        <v>2</v>
      </c>
    </row>
    <row r="137" spans="1:9" x14ac:dyDescent="0.25">
      <c r="A137" s="27" t="s">
        <v>2213</v>
      </c>
      <c r="B137" s="27" t="s">
        <v>111</v>
      </c>
      <c r="C137" s="27">
        <v>0</v>
      </c>
      <c r="D137" s="28">
        <v>43314</v>
      </c>
      <c r="E137" s="27">
        <v>79.430000000000007</v>
      </c>
      <c r="F137" s="27" t="s">
        <v>1064</v>
      </c>
      <c r="G137" s="27" t="s">
        <v>1065</v>
      </c>
      <c r="H137" s="27" t="s">
        <v>106</v>
      </c>
      <c r="I137" s="27">
        <v>0</v>
      </c>
    </row>
    <row r="138" spans="1:9" x14ac:dyDescent="0.25">
      <c r="A138" s="27" t="s">
        <v>2213</v>
      </c>
      <c r="B138" s="27" t="s">
        <v>111</v>
      </c>
      <c r="C138" s="27">
        <v>0</v>
      </c>
      <c r="D138" s="28">
        <v>43314</v>
      </c>
      <c r="E138" s="27">
        <v>-5003.9799999999996</v>
      </c>
      <c r="F138" s="27" t="s">
        <v>1066</v>
      </c>
      <c r="G138" s="27" t="s">
        <v>1067</v>
      </c>
      <c r="H138" s="27" t="s">
        <v>106</v>
      </c>
      <c r="I138" s="27">
        <v>2</v>
      </c>
    </row>
    <row r="139" spans="1:9" x14ac:dyDescent="0.25">
      <c r="A139" s="27" t="s">
        <v>2213</v>
      </c>
      <c r="B139" s="27" t="s">
        <v>111</v>
      </c>
      <c r="C139" s="27">
        <v>0</v>
      </c>
      <c r="D139" s="28">
        <v>43315</v>
      </c>
      <c r="E139" s="27">
        <v>5003.9799999999996</v>
      </c>
      <c r="F139" s="27" t="s">
        <v>1068</v>
      </c>
      <c r="G139" s="27" t="s">
        <v>1069</v>
      </c>
      <c r="H139" s="27" t="s">
        <v>106</v>
      </c>
      <c r="I139" s="27">
        <v>0</v>
      </c>
    </row>
    <row r="140" spans="1:9" x14ac:dyDescent="0.25">
      <c r="A140" s="27" t="s">
        <v>2213</v>
      </c>
      <c r="B140" s="27" t="s">
        <v>111</v>
      </c>
      <c r="C140" s="27">
        <v>0</v>
      </c>
      <c r="D140" s="28">
        <v>43315</v>
      </c>
      <c r="E140" s="27">
        <v>-5798.26</v>
      </c>
      <c r="F140" s="27" t="s">
        <v>1070</v>
      </c>
      <c r="G140" s="27" t="s">
        <v>1071</v>
      </c>
      <c r="H140" s="27" t="s">
        <v>106</v>
      </c>
      <c r="I140" s="27">
        <v>2</v>
      </c>
    </row>
    <row r="141" spans="1:9" x14ac:dyDescent="0.25">
      <c r="A141" s="27" t="s">
        <v>2213</v>
      </c>
      <c r="B141" s="27" t="s">
        <v>111</v>
      </c>
      <c r="C141" s="27">
        <v>0</v>
      </c>
      <c r="D141" s="28">
        <v>43320</v>
      </c>
      <c r="E141" s="27">
        <v>9769.66</v>
      </c>
      <c r="F141" s="27" t="s">
        <v>1072</v>
      </c>
      <c r="G141" s="27" t="s">
        <v>1073</v>
      </c>
      <c r="H141" s="27" t="s">
        <v>106</v>
      </c>
      <c r="I141" s="27">
        <v>0</v>
      </c>
    </row>
    <row r="142" spans="1:9" x14ac:dyDescent="0.25">
      <c r="A142" s="27" t="s">
        <v>2213</v>
      </c>
      <c r="B142" s="27" t="s">
        <v>111</v>
      </c>
      <c r="C142" s="27">
        <v>0</v>
      </c>
      <c r="D142" s="28">
        <v>43320</v>
      </c>
      <c r="E142" s="27">
        <v>-4368.55</v>
      </c>
      <c r="F142" s="27" t="s">
        <v>1074</v>
      </c>
      <c r="G142" s="27" t="s">
        <v>1075</v>
      </c>
      <c r="H142" s="27" t="s">
        <v>106</v>
      </c>
      <c r="I142" s="27">
        <v>2</v>
      </c>
    </row>
    <row r="143" spans="1:9" x14ac:dyDescent="0.25">
      <c r="A143" s="27" t="s">
        <v>2213</v>
      </c>
      <c r="B143" s="27" t="s">
        <v>111</v>
      </c>
      <c r="C143" s="27">
        <v>0</v>
      </c>
      <c r="D143" s="28">
        <v>43321</v>
      </c>
      <c r="E143" s="27">
        <v>12311.36</v>
      </c>
      <c r="F143" s="27" t="s">
        <v>1076</v>
      </c>
      <c r="G143" s="27" t="s">
        <v>1077</v>
      </c>
      <c r="H143" s="27" t="s">
        <v>106</v>
      </c>
      <c r="I143" s="27">
        <v>0</v>
      </c>
    </row>
    <row r="144" spans="1:9" x14ac:dyDescent="0.25">
      <c r="A144" s="27" t="s">
        <v>2213</v>
      </c>
      <c r="B144" s="27" t="s">
        <v>111</v>
      </c>
      <c r="C144" s="27">
        <v>0</v>
      </c>
      <c r="D144" s="28">
        <v>43321</v>
      </c>
      <c r="E144" s="27">
        <v>-15965.05</v>
      </c>
      <c r="F144" s="27" t="s">
        <v>1078</v>
      </c>
      <c r="G144" s="27" t="s">
        <v>1079</v>
      </c>
      <c r="H144" s="27" t="s">
        <v>106</v>
      </c>
      <c r="I144" s="27">
        <v>2</v>
      </c>
    </row>
    <row r="145" spans="1:9" x14ac:dyDescent="0.25">
      <c r="A145" s="27" t="s">
        <v>2213</v>
      </c>
      <c r="B145" s="27" t="s">
        <v>111</v>
      </c>
      <c r="C145" s="27">
        <v>0</v>
      </c>
      <c r="D145" s="28">
        <v>43322</v>
      </c>
      <c r="E145" s="27">
        <v>79.430000000000007</v>
      </c>
      <c r="F145" s="27" t="s">
        <v>1080</v>
      </c>
      <c r="G145" s="27" t="s">
        <v>1081</v>
      </c>
      <c r="H145" s="27" t="s">
        <v>106</v>
      </c>
      <c r="I145" s="27">
        <v>0</v>
      </c>
    </row>
    <row r="146" spans="1:9" x14ac:dyDescent="0.25">
      <c r="A146" s="27" t="s">
        <v>2213</v>
      </c>
      <c r="B146" s="27" t="s">
        <v>111</v>
      </c>
      <c r="C146" s="27">
        <v>0</v>
      </c>
      <c r="D146" s="28">
        <v>43322</v>
      </c>
      <c r="E146" s="27">
        <v>15885.62</v>
      </c>
      <c r="F146" s="27" t="s">
        <v>1082</v>
      </c>
      <c r="G146" s="27" t="s">
        <v>1083</v>
      </c>
      <c r="H146" s="27" t="s">
        <v>106</v>
      </c>
      <c r="I146" s="27">
        <v>1</v>
      </c>
    </row>
    <row r="147" spans="1:9" x14ac:dyDescent="0.25">
      <c r="A147" s="27" t="s">
        <v>2213</v>
      </c>
      <c r="B147" s="27" t="s">
        <v>111</v>
      </c>
      <c r="C147" s="27">
        <v>0</v>
      </c>
      <c r="D147" s="28">
        <v>43322</v>
      </c>
      <c r="E147" s="27">
        <v>-2938.84</v>
      </c>
      <c r="F147" s="27" t="s">
        <v>1084</v>
      </c>
      <c r="G147" s="27" t="s">
        <v>1085</v>
      </c>
      <c r="H147" s="27" t="s">
        <v>106</v>
      </c>
      <c r="I147" s="27">
        <v>2</v>
      </c>
    </row>
    <row r="148" spans="1:9" x14ac:dyDescent="0.25">
      <c r="A148" s="27" t="s">
        <v>2213</v>
      </c>
      <c r="B148" s="27" t="s">
        <v>111</v>
      </c>
      <c r="C148" s="27">
        <v>0</v>
      </c>
      <c r="D148" s="28">
        <v>43325</v>
      </c>
      <c r="E148" s="27">
        <v>-5003.97</v>
      </c>
      <c r="F148" s="27" t="s">
        <v>1086</v>
      </c>
      <c r="G148" s="27" t="s">
        <v>1087</v>
      </c>
      <c r="H148" s="27" t="s">
        <v>106</v>
      </c>
      <c r="I148" s="27">
        <v>0</v>
      </c>
    </row>
    <row r="149" spans="1:9" x14ac:dyDescent="0.25">
      <c r="A149" s="27" t="s">
        <v>2213</v>
      </c>
      <c r="B149" s="27" t="s">
        <v>111</v>
      </c>
      <c r="C149" s="27">
        <v>0</v>
      </c>
      <c r="D149" s="28">
        <v>43325</v>
      </c>
      <c r="E149" s="27">
        <v>-14932.48</v>
      </c>
      <c r="F149" s="27" t="s">
        <v>1088</v>
      </c>
      <c r="G149" s="27" t="s">
        <v>1089</v>
      </c>
      <c r="H149" s="27" t="s">
        <v>106</v>
      </c>
      <c r="I149" s="27">
        <v>2</v>
      </c>
    </row>
    <row r="150" spans="1:9" x14ac:dyDescent="0.25">
      <c r="A150" s="27" t="s">
        <v>2213</v>
      </c>
      <c r="B150" s="27" t="s">
        <v>111</v>
      </c>
      <c r="C150" s="27">
        <v>0</v>
      </c>
      <c r="D150" s="28">
        <v>43326</v>
      </c>
      <c r="E150" s="27">
        <v>6989.67</v>
      </c>
      <c r="F150" s="27" t="s">
        <v>1090</v>
      </c>
      <c r="G150" s="27" t="s">
        <v>1091</v>
      </c>
      <c r="H150" s="27" t="s">
        <v>106</v>
      </c>
      <c r="I150" s="27">
        <v>0</v>
      </c>
    </row>
    <row r="151" spans="1:9" x14ac:dyDescent="0.25">
      <c r="A151" s="27" t="s">
        <v>2213</v>
      </c>
      <c r="B151" s="27" t="s">
        <v>111</v>
      </c>
      <c r="C151" s="27">
        <v>0</v>
      </c>
      <c r="D151" s="28">
        <v>43326</v>
      </c>
      <c r="E151" s="27">
        <v>-3971.41</v>
      </c>
      <c r="F151" s="27" t="s">
        <v>1092</v>
      </c>
      <c r="G151" s="27" t="s">
        <v>1093</v>
      </c>
      <c r="H151" s="27" t="s">
        <v>106</v>
      </c>
      <c r="I151" s="27">
        <v>1</v>
      </c>
    </row>
    <row r="152" spans="1:9" x14ac:dyDescent="0.25">
      <c r="A152" s="27" t="s">
        <v>2213</v>
      </c>
      <c r="B152" s="27" t="s">
        <v>111</v>
      </c>
      <c r="C152" s="27">
        <v>0</v>
      </c>
      <c r="D152" s="28">
        <v>43326</v>
      </c>
      <c r="E152" s="27">
        <v>-6354.25</v>
      </c>
      <c r="F152" s="27" t="s">
        <v>1094</v>
      </c>
      <c r="G152" s="27" t="s">
        <v>1095</v>
      </c>
      <c r="H152" s="27" t="s">
        <v>106</v>
      </c>
      <c r="I152" s="27">
        <v>2</v>
      </c>
    </row>
    <row r="153" spans="1:9" x14ac:dyDescent="0.25">
      <c r="A153" s="27" t="s">
        <v>2213</v>
      </c>
      <c r="B153" s="27" t="s">
        <v>111</v>
      </c>
      <c r="C153" s="27">
        <v>0</v>
      </c>
      <c r="D153" s="28">
        <v>43329</v>
      </c>
      <c r="E153" s="27">
        <v>6354.25</v>
      </c>
      <c r="F153" s="27" t="s">
        <v>1096</v>
      </c>
      <c r="G153" s="27" t="s">
        <v>1097</v>
      </c>
      <c r="H153" s="27" t="s">
        <v>106</v>
      </c>
      <c r="I153" s="27">
        <v>0</v>
      </c>
    </row>
    <row r="154" spans="1:9" x14ac:dyDescent="0.25">
      <c r="A154" s="27" t="s">
        <v>2213</v>
      </c>
      <c r="B154" s="27" t="s">
        <v>111</v>
      </c>
      <c r="C154" s="27">
        <v>0</v>
      </c>
      <c r="D154" s="28">
        <v>43329</v>
      </c>
      <c r="E154" s="27">
        <v>-5798.25</v>
      </c>
      <c r="F154" s="27" t="s">
        <v>1098</v>
      </c>
      <c r="G154" s="27" t="s">
        <v>1099</v>
      </c>
      <c r="H154" s="27" t="s">
        <v>106</v>
      </c>
      <c r="I154" s="27">
        <v>2</v>
      </c>
    </row>
    <row r="155" spans="1:9" x14ac:dyDescent="0.25">
      <c r="A155" s="27" t="s">
        <v>2213</v>
      </c>
      <c r="B155" s="27" t="s">
        <v>111</v>
      </c>
      <c r="C155" s="27">
        <v>0</v>
      </c>
      <c r="D155" s="28">
        <v>43332</v>
      </c>
      <c r="E155" s="27">
        <v>5798.25</v>
      </c>
      <c r="F155" s="27" t="s">
        <v>1100</v>
      </c>
      <c r="G155" s="27" t="s">
        <v>1101</v>
      </c>
      <c r="H155" s="27" t="s">
        <v>106</v>
      </c>
      <c r="I155" s="27">
        <v>0</v>
      </c>
    </row>
    <row r="156" spans="1:9" x14ac:dyDescent="0.25">
      <c r="A156" s="27" t="s">
        <v>2213</v>
      </c>
      <c r="B156" s="27" t="s">
        <v>111</v>
      </c>
      <c r="C156" s="27">
        <v>0</v>
      </c>
      <c r="D156" s="28">
        <v>43332</v>
      </c>
      <c r="E156" s="27">
        <v>-3415.41</v>
      </c>
      <c r="F156" s="27" t="s">
        <v>1102</v>
      </c>
      <c r="G156" s="27" t="s">
        <v>1103</v>
      </c>
      <c r="H156" s="27" t="s">
        <v>106</v>
      </c>
      <c r="I156" s="27">
        <v>2</v>
      </c>
    </row>
    <row r="157" spans="1:9" x14ac:dyDescent="0.25">
      <c r="A157" s="27" t="s">
        <v>2213</v>
      </c>
      <c r="B157" s="27" t="s">
        <v>111</v>
      </c>
      <c r="C157" s="27">
        <v>0</v>
      </c>
      <c r="D157" s="28">
        <v>43333</v>
      </c>
      <c r="E157" s="27">
        <v>7386.82</v>
      </c>
      <c r="F157" s="27" t="s">
        <v>1104</v>
      </c>
      <c r="G157" s="27" t="s">
        <v>1105</v>
      </c>
      <c r="H157" s="27" t="s">
        <v>106</v>
      </c>
      <c r="I157" s="27">
        <v>0</v>
      </c>
    </row>
    <row r="158" spans="1:9" x14ac:dyDescent="0.25">
      <c r="A158" s="27" t="s">
        <v>2213</v>
      </c>
      <c r="B158" s="27" t="s">
        <v>111</v>
      </c>
      <c r="C158" s="27">
        <v>0</v>
      </c>
      <c r="D158" s="28">
        <v>43333</v>
      </c>
      <c r="E158" s="27">
        <v>-7227.96</v>
      </c>
      <c r="F158" s="27" t="s">
        <v>1106</v>
      </c>
      <c r="G158" s="27" t="s">
        <v>1107</v>
      </c>
      <c r="H158" s="27" t="s">
        <v>106</v>
      </c>
      <c r="I158" s="27">
        <v>2</v>
      </c>
    </row>
    <row r="159" spans="1:9" x14ac:dyDescent="0.25">
      <c r="A159" s="27" t="s">
        <v>2213</v>
      </c>
      <c r="B159" s="27" t="s">
        <v>111</v>
      </c>
      <c r="C159" s="27">
        <v>0</v>
      </c>
      <c r="D159" s="28">
        <v>43334</v>
      </c>
      <c r="E159" s="27">
        <v>3256.55</v>
      </c>
      <c r="F159" s="27" t="s">
        <v>1108</v>
      </c>
      <c r="G159" s="27" t="s">
        <v>1109</v>
      </c>
      <c r="H159" s="27" t="s">
        <v>106</v>
      </c>
      <c r="I159" s="27">
        <v>0</v>
      </c>
    </row>
    <row r="160" spans="1:9" x14ac:dyDescent="0.25">
      <c r="A160" s="27" t="s">
        <v>2213</v>
      </c>
      <c r="B160" s="27" t="s">
        <v>111</v>
      </c>
      <c r="C160" s="27">
        <v>0</v>
      </c>
      <c r="D160" s="28">
        <v>43334</v>
      </c>
      <c r="E160" s="27">
        <v>-3335.98</v>
      </c>
      <c r="F160" s="27" t="s">
        <v>1110</v>
      </c>
      <c r="G160" s="27" t="s">
        <v>1111</v>
      </c>
      <c r="H160" s="27" t="s">
        <v>106</v>
      </c>
      <c r="I160" s="27">
        <v>2</v>
      </c>
    </row>
    <row r="161" spans="1:9" x14ac:dyDescent="0.25">
      <c r="A161" s="27" t="s">
        <v>2213</v>
      </c>
      <c r="B161" s="27" t="s">
        <v>111</v>
      </c>
      <c r="C161" s="27">
        <v>0</v>
      </c>
      <c r="D161" s="28">
        <v>43335</v>
      </c>
      <c r="E161" s="27">
        <v>4130.26</v>
      </c>
      <c r="F161" s="27" t="s">
        <v>1112</v>
      </c>
      <c r="G161" s="27" t="s">
        <v>1113</v>
      </c>
      <c r="H161" s="27" t="s">
        <v>106</v>
      </c>
      <c r="I161" s="27">
        <v>0</v>
      </c>
    </row>
    <row r="162" spans="1:9" x14ac:dyDescent="0.25">
      <c r="A162" s="27" t="s">
        <v>2213</v>
      </c>
      <c r="B162" s="27" t="s">
        <v>111</v>
      </c>
      <c r="C162" s="27">
        <v>0</v>
      </c>
      <c r="D162" s="28">
        <v>43335</v>
      </c>
      <c r="E162" s="27">
        <v>-3256.55</v>
      </c>
      <c r="F162" s="27" t="s">
        <v>1114</v>
      </c>
      <c r="G162" s="27" t="s">
        <v>1115</v>
      </c>
      <c r="H162" s="27" t="s">
        <v>106</v>
      </c>
      <c r="I162" s="27">
        <v>2</v>
      </c>
    </row>
    <row r="163" spans="1:9" x14ac:dyDescent="0.25">
      <c r="A163" s="27" t="s">
        <v>2213</v>
      </c>
      <c r="B163" s="27" t="s">
        <v>111</v>
      </c>
      <c r="C163" s="27">
        <v>0</v>
      </c>
      <c r="D163" s="28">
        <v>43340</v>
      </c>
      <c r="E163" s="27">
        <v>-1509.13</v>
      </c>
      <c r="F163" s="27" t="s">
        <v>1116</v>
      </c>
      <c r="G163" s="27" t="s">
        <v>1117</v>
      </c>
      <c r="H163" s="27" t="s">
        <v>106</v>
      </c>
      <c r="I163" s="27">
        <v>0</v>
      </c>
    </row>
    <row r="164" spans="1:9" x14ac:dyDescent="0.25">
      <c r="A164" s="27" t="s">
        <v>2213</v>
      </c>
      <c r="B164" s="27" t="s">
        <v>111</v>
      </c>
      <c r="C164" s="27">
        <v>0</v>
      </c>
      <c r="D164" s="28">
        <v>43340</v>
      </c>
      <c r="E164" s="27">
        <v>3971.4</v>
      </c>
      <c r="F164" s="27" t="s">
        <v>1118</v>
      </c>
      <c r="G164" s="27" t="s">
        <v>1119</v>
      </c>
      <c r="H164" s="27" t="s">
        <v>106</v>
      </c>
      <c r="I164" s="27">
        <v>1</v>
      </c>
    </row>
    <row r="165" spans="1:9" x14ac:dyDescent="0.25">
      <c r="A165" s="27" t="s">
        <v>2213</v>
      </c>
      <c r="B165" s="27" t="s">
        <v>111</v>
      </c>
      <c r="C165" s="27">
        <v>0</v>
      </c>
      <c r="D165" s="28">
        <v>43340</v>
      </c>
      <c r="E165" s="27">
        <v>5083.3999999999996</v>
      </c>
      <c r="F165" s="27" t="s">
        <v>1120</v>
      </c>
      <c r="G165" s="27" t="s">
        <v>1121</v>
      </c>
      <c r="H165" s="27" t="s">
        <v>106</v>
      </c>
      <c r="I165" s="27">
        <v>2</v>
      </c>
    </row>
    <row r="166" spans="1:9" x14ac:dyDescent="0.25">
      <c r="A166" s="27" t="s">
        <v>2213</v>
      </c>
      <c r="B166" s="27" t="s">
        <v>111</v>
      </c>
      <c r="C166" s="27">
        <v>0</v>
      </c>
      <c r="D166" s="28">
        <v>43341</v>
      </c>
      <c r="E166" s="27">
        <v>-5083.3999999999996</v>
      </c>
      <c r="F166" s="27" t="s">
        <v>1122</v>
      </c>
      <c r="G166" s="27" t="s">
        <v>1123</v>
      </c>
      <c r="H166" s="27" t="s">
        <v>106</v>
      </c>
      <c r="I166" s="27">
        <v>0</v>
      </c>
    </row>
    <row r="167" spans="1:9" x14ac:dyDescent="0.25">
      <c r="A167" s="27" t="s">
        <v>2213</v>
      </c>
      <c r="B167" s="27" t="s">
        <v>111</v>
      </c>
      <c r="C167" s="27">
        <v>0</v>
      </c>
      <c r="D167" s="28">
        <v>43341</v>
      </c>
      <c r="E167" s="27">
        <v>7307.39</v>
      </c>
      <c r="F167" s="27" t="s">
        <v>1124</v>
      </c>
      <c r="G167" s="27" t="s">
        <v>1125</v>
      </c>
      <c r="H167" s="27" t="s">
        <v>106</v>
      </c>
      <c r="I167" s="27">
        <v>2</v>
      </c>
    </row>
    <row r="168" spans="1:9" x14ac:dyDescent="0.25">
      <c r="A168" s="27" t="s">
        <v>2213</v>
      </c>
      <c r="B168" s="27" t="s">
        <v>111</v>
      </c>
      <c r="C168" s="27">
        <v>0</v>
      </c>
      <c r="D168" s="28">
        <v>43342</v>
      </c>
      <c r="E168" s="27">
        <v>8578.24</v>
      </c>
      <c r="F168" s="27" t="s">
        <v>1126</v>
      </c>
      <c r="G168" s="27" t="s">
        <v>1127</v>
      </c>
      <c r="H168" s="27" t="s">
        <v>106</v>
      </c>
      <c r="I168" s="27">
        <v>0</v>
      </c>
    </row>
    <row r="169" spans="1:9" x14ac:dyDescent="0.25">
      <c r="A169" s="27" t="s">
        <v>2213</v>
      </c>
      <c r="B169" s="27" t="s">
        <v>111</v>
      </c>
      <c r="C169" s="27">
        <v>0</v>
      </c>
      <c r="D169" s="28">
        <v>43342</v>
      </c>
      <c r="E169" s="27">
        <v>1588.56</v>
      </c>
      <c r="F169" s="27" t="s">
        <v>1128</v>
      </c>
      <c r="G169" s="27" t="s">
        <v>1129</v>
      </c>
      <c r="H169" s="27" t="s">
        <v>106</v>
      </c>
      <c r="I169" s="27">
        <v>2</v>
      </c>
    </row>
    <row r="170" spans="1:9" x14ac:dyDescent="0.25">
      <c r="A170" s="27" t="s">
        <v>2213</v>
      </c>
      <c r="B170" s="27" t="s">
        <v>111</v>
      </c>
      <c r="C170" s="27">
        <v>0</v>
      </c>
      <c r="D170" s="28">
        <v>43343</v>
      </c>
      <c r="E170" s="27">
        <v>-23034.15</v>
      </c>
      <c r="F170" s="27" t="s">
        <v>1130</v>
      </c>
      <c r="G170" s="27" t="s">
        <v>1131</v>
      </c>
      <c r="H170" s="27" t="s">
        <v>106</v>
      </c>
      <c r="I170" s="27">
        <v>0</v>
      </c>
    </row>
    <row r="171" spans="1:9" x14ac:dyDescent="0.25">
      <c r="A171" s="27" t="s">
        <v>2213</v>
      </c>
      <c r="B171" s="27" t="s">
        <v>111</v>
      </c>
      <c r="C171" s="27">
        <v>0</v>
      </c>
      <c r="D171" s="28">
        <v>43343</v>
      </c>
      <c r="E171" s="27">
        <v>13502.78</v>
      </c>
      <c r="F171" s="27" t="s">
        <v>1132</v>
      </c>
      <c r="G171" s="27" t="s">
        <v>1133</v>
      </c>
      <c r="H171" s="27" t="s">
        <v>106</v>
      </c>
      <c r="I171" s="27">
        <v>1</v>
      </c>
    </row>
    <row r="172" spans="1:9" x14ac:dyDescent="0.25">
      <c r="A172" s="27" t="s">
        <v>2213</v>
      </c>
      <c r="B172" s="27" t="s">
        <v>111</v>
      </c>
      <c r="C172" s="27">
        <v>0</v>
      </c>
      <c r="D172" s="28">
        <v>43343</v>
      </c>
      <c r="E172" s="27">
        <v>13502.78</v>
      </c>
      <c r="F172" s="27" t="s">
        <v>1134</v>
      </c>
      <c r="G172" s="27" t="s">
        <v>1135</v>
      </c>
      <c r="H172" s="27" t="s">
        <v>106</v>
      </c>
      <c r="I172" s="27">
        <v>2</v>
      </c>
    </row>
    <row r="173" spans="1:9" x14ac:dyDescent="0.25">
      <c r="A173" s="27" t="s">
        <v>2213</v>
      </c>
      <c r="B173" s="27" t="s">
        <v>111</v>
      </c>
      <c r="C173" s="27">
        <v>0</v>
      </c>
      <c r="D173" s="28">
        <v>43346</v>
      </c>
      <c r="E173" s="27">
        <v>1588.56</v>
      </c>
      <c r="F173" s="27" t="s">
        <v>1136</v>
      </c>
      <c r="G173" s="27" t="s">
        <v>1137</v>
      </c>
      <c r="H173" s="27" t="s">
        <v>106</v>
      </c>
      <c r="I173" s="27">
        <v>0</v>
      </c>
    </row>
    <row r="174" spans="1:9" x14ac:dyDescent="0.25">
      <c r="A174" s="27" t="s">
        <v>2213</v>
      </c>
      <c r="B174" s="27" t="s">
        <v>111</v>
      </c>
      <c r="C174" s="27">
        <v>0</v>
      </c>
      <c r="D174" s="28">
        <v>43346</v>
      </c>
      <c r="E174" s="27">
        <v>-2144.56</v>
      </c>
      <c r="F174" s="27" t="s">
        <v>1138</v>
      </c>
      <c r="G174" s="27" t="s">
        <v>1139</v>
      </c>
      <c r="H174" s="27" t="s">
        <v>106</v>
      </c>
      <c r="I174" s="27">
        <v>2</v>
      </c>
    </row>
    <row r="175" spans="1:9" x14ac:dyDescent="0.25">
      <c r="A175" s="27" t="s">
        <v>2213</v>
      </c>
      <c r="B175" s="27" t="s">
        <v>111</v>
      </c>
      <c r="C175" s="27">
        <v>0</v>
      </c>
      <c r="D175" s="28">
        <v>43349</v>
      </c>
      <c r="E175" s="27">
        <v>14853.06</v>
      </c>
      <c r="F175" s="27" t="s">
        <v>1140</v>
      </c>
      <c r="G175" s="27" t="s">
        <v>1141</v>
      </c>
      <c r="H175" s="27" t="s">
        <v>106</v>
      </c>
      <c r="I175" s="27">
        <v>0</v>
      </c>
    </row>
    <row r="176" spans="1:9" x14ac:dyDescent="0.25">
      <c r="A176" s="27" t="s">
        <v>2213</v>
      </c>
      <c r="B176" s="27" t="s">
        <v>111</v>
      </c>
      <c r="C176" s="27">
        <v>0</v>
      </c>
      <c r="D176" s="28">
        <v>43349</v>
      </c>
      <c r="E176" s="27">
        <v>6036.53</v>
      </c>
      <c r="F176" s="27" t="s">
        <v>1142</v>
      </c>
      <c r="G176" s="27" t="s">
        <v>1143</v>
      </c>
      <c r="H176" s="27" t="s">
        <v>106</v>
      </c>
      <c r="I176" s="27">
        <v>2</v>
      </c>
    </row>
    <row r="177" spans="1:9" x14ac:dyDescent="0.25">
      <c r="A177" s="27" t="s">
        <v>2213</v>
      </c>
      <c r="B177" s="27" t="s">
        <v>111</v>
      </c>
      <c r="C177" s="27">
        <v>0</v>
      </c>
      <c r="D177" s="28">
        <v>43350</v>
      </c>
      <c r="E177" s="27">
        <v>-10007.94</v>
      </c>
      <c r="F177" s="27" t="s">
        <v>1144</v>
      </c>
      <c r="G177" s="27" t="s">
        <v>1145</v>
      </c>
      <c r="H177" s="27" t="s">
        <v>106</v>
      </c>
      <c r="I177" s="27">
        <v>0</v>
      </c>
    </row>
    <row r="178" spans="1:9" x14ac:dyDescent="0.25">
      <c r="A178" s="27" t="s">
        <v>2213</v>
      </c>
      <c r="B178" s="27" t="s">
        <v>111</v>
      </c>
      <c r="C178" s="27">
        <v>0</v>
      </c>
      <c r="D178" s="28">
        <v>43350</v>
      </c>
      <c r="E178" s="27">
        <v>-2065.13</v>
      </c>
      <c r="F178" s="27" t="s">
        <v>1146</v>
      </c>
      <c r="G178" s="27" t="s">
        <v>1147</v>
      </c>
      <c r="H178" s="27" t="s">
        <v>106</v>
      </c>
      <c r="I178" s="27">
        <v>2</v>
      </c>
    </row>
    <row r="179" spans="1:9" x14ac:dyDescent="0.25">
      <c r="A179" s="27" t="s">
        <v>2213</v>
      </c>
      <c r="B179" s="27" t="s">
        <v>111</v>
      </c>
      <c r="C179" s="27">
        <v>0</v>
      </c>
      <c r="D179" s="28">
        <v>43353</v>
      </c>
      <c r="E179" s="27">
        <v>-17791.900000000001</v>
      </c>
      <c r="F179" s="27" t="s">
        <v>1148</v>
      </c>
      <c r="G179" s="27" t="s">
        <v>1149</v>
      </c>
      <c r="H179" s="27" t="s">
        <v>106</v>
      </c>
      <c r="I179" s="27">
        <v>0</v>
      </c>
    </row>
    <row r="180" spans="1:9" x14ac:dyDescent="0.25">
      <c r="A180" s="27" t="s">
        <v>2213</v>
      </c>
      <c r="B180" s="27" t="s">
        <v>111</v>
      </c>
      <c r="C180" s="27">
        <v>0</v>
      </c>
      <c r="D180" s="28">
        <v>43353</v>
      </c>
      <c r="E180" s="27">
        <v>-4368.55</v>
      </c>
      <c r="F180" s="27" t="s">
        <v>1150</v>
      </c>
      <c r="G180" s="27" t="s">
        <v>1151</v>
      </c>
      <c r="H180" s="27" t="s">
        <v>106</v>
      </c>
      <c r="I180" s="27">
        <v>2</v>
      </c>
    </row>
    <row r="181" spans="1:9" x14ac:dyDescent="0.25">
      <c r="A181" s="27" t="s">
        <v>2213</v>
      </c>
      <c r="B181" s="27" t="s">
        <v>111</v>
      </c>
      <c r="C181" s="27">
        <v>0</v>
      </c>
      <c r="D181" s="28">
        <v>43354</v>
      </c>
      <c r="E181" s="27">
        <v>-17871.32</v>
      </c>
      <c r="F181" s="27" t="s">
        <v>1152</v>
      </c>
      <c r="G181" s="27" t="s">
        <v>1153</v>
      </c>
      <c r="H181" s="27" t="s">
        <v>106</v>
      </c>
      <c r="I181" s="27">
        <v>0</v>
      </c>
    </row>
    <row r="182" spans="1:9" x14ac:dyDescent="0.25">
      <c r="A182" s="27" t="s">
        <v>2213</v>
      </c>
      <c r="B182" s="27" t="s">
        <v>111</v>
      </c>
      <c r="C182" s="27">
        <v>0</v>
      </c>
      <c r="D182" s="28">
        <v>43354</v>
      </c>
      <c r="E182" s="27">
        <v>9531.3700000000008</v>
      </c>
      <c r="F182" s="27" t="s">
        <v>1154</v>
      </c>
      <c r="G182" s="27" t="s">
        <v>1155</v>
      </c>
      <c r="H182" s="27" t="s">
        <v>106</v>
      </c>
      <c r="I182" s="27">
        <v>2</v>
      </c>
    </row>
    <row r="183" spans="1:9" x14ac:dyDescent="0.25">
      <c r="A183" s="27" t="s">
        <v>2213</v>
      </c>
      <c r="B183" s="27" t="s">
        <v>111</v>
      </c>
      <c r="C183" s="27">
        <v>0</v>
      </c>
      <c r="D183" s="28">
        <v>43355</v>
      </c>
      <c r="E183" s="27">
        <v>4765.6899999999996</v>
      </c>
      <c r="F183" s="27" t="s">
        <v>1156</v>
      </c>
      <c r="G183" s="27" t="s">
        <v>1157</v>
      </c>
      <c r="H183" s="27" t="s">
        <v>106</v>
      </c>
      <c r="I183" s="27">
        <v>0</v>
      </c>
    </row>
    <row r="184" spans="1:9" x14ac:dyDescent="0.25">
      <c r="A184" s="27" t="s">
        <v>2213</v>
      </c>
      <c r="B184" s="27" t="s">
        <v>111</v>
      </c>
      <c r="C184" s="27">
        <v>0</v>
      </c>
      <c r="D184" s="28">
        <v>43355</v>
      </c>
      <c r="E184" s="27">
        <v>-7863.38</v>
      </c>
      <c r="F184" s="27" t="s">
        <v>1158</v>
      </c>
      <c r="G184" s="27" t="s">
        <v>1159</v>
      </c>
      <c r="H184" s="27" t="s">
        <v>106</v>
      </c>
      <c r="I184" s="27">
        <v>2</v>
      </c>
    </row>
    <row r="185" spans="1:9" x14ac:dyDescent="0.25">
      <c r="A185" s="27" t="s">
        <v>2213</v>
      </c>
      <c r="B185" s="27" t="s">
        <v>111</v>
      </c>
      <c r="C185" s="27">
        <v>0</v>
      </c>
      <c r="D185" s="28">
        <v>43360</v>
      </c>
      <c r="E185" s="27">
        <v>7863.38</v>
      </c>
      <c r="F185" s="27" t="s">
        <v>1160</v>
      </c>
      <c r="G185" s="27" t="s">
        <v>1161</v>
      </c>
      <c r="H185" s="27" t="s">
        <v>106</v>
      </c>
      <c r="I185" s="27">
        <v>0</v>
      </c>
    </row>
    <row r="186" spans="1:9" x14ac:dyDescent="0.25">
      <c r="A186" s="27" t="s">
        <v>2213</v>
      </c>
      <c r="B186" s="27" t="s">
        <v>111</v>
      </c>
      <c r="C186" s="27">
        <v>0</v>
      </c>
      <c r="D186" s="28">
        <v>43360</v>
      </c>
      <c r="E186" s="27">
        <v>-3971.41</v>
      </c>
      <c r="F186" s="27" t="s">
        <v>1162</v>
      </c>
      <c r="G186" s="27" t="s">
        <v>1163</v>
      </c>
      <c r="H186" s="27" t="s">
        <v>106</v>
      </c>
      <c r="I186" s="27">
        <v>2</v>
      </c>
    </row>
    <row r="187" spans="1:9" x14ac:dyDescent="0.25">
      <c r="A187" s="27" t="s">
        <v>2213</v>
      </c>
      <c r="B187" s="27" t="s">
        <v>111</v>
      </c>
      <c r="C187" s="27">
        <v>0</v>
      </c>
      <c r="D187" s="28">
        <v>43361</v>
      </c>
      <c r="E187" s="27">
        <v>5559.97</v>
      </c>
      <c r="F187" s="27" t="s">
        <v>1164</v>
      </c>
      <c r="G187" s="27" t="s">
        <v>1165</v>
      </c>
      <c r="H187" s="27" t="s">
        <v>106</v>
      </c>
      <c r="I187" s="27">
        <v>0</v>
      </c>
    </row>
    <row r="188" spans="1:9" x14ac:dyDescent="0.25">
      <c r="A188" s="27" t="s">
        <v>2213</v>
      </c>
      <c r="B188" s="27" t="s">
        <v>111</v>
      </c>
      <c r="C188" s="27">
        <v>0</v>
      </c>
      <c r="D188" s="28">
        <v>43361</v>
      </c>
      <c r="E188" s="27">
        <v>-4845.1099999999997</v>
      </c>
      <c r="F188" s="27" t="s">
        <v>1166</v>
      </c>
      <c r="G188" s="27" t="s">
        <v>1167</v>
      </c>
      <c r="H188" s="27" t="s">
        <v>106</v>
      </c>
      <c r="I188" s="27">
        <v>2</v>
      </c>
    </row>
    <row r="189" spans="1:9" x14ac:dyDescent="0.25">
      <c r="A189" s="27" t="s">
        <v>2213</v>
      </c>
      <c r="B189" s="27" t="s">
        <v>111</v>
      </c>
      <c r="C189" s="27">
        <v>0</v>
      </c>
      <c r="D189" s="28">
        <v>43362</v>
      </c>
      <c r="E189" s="27">
        <v>-714.86</v>
      </c>
      <c r="F189" s="27" t="s">
        <v>1168</v>
      </c>
      <c r="G189" s="27" t="s">
        <v>1169</v>
      </c>
      <c r="H189" s="27" t="s">
        <v>106</v>
      </c>
      <c r="I189" s="27">
        <v>0</v>
      </c>
    </row>
    <row r="190" spans="1:9" x14ac:dyDescent="0.25">
      <c r="A190" s="27" t="s">
        <v>2213</v>
      </c>
      <c r="B190" s="27" t="s">
        <v>111</v>
      </c>
      <c r="C190" s="27">
        <v>0</v>
      </c>
      <c r="D190" s="28">
        <v>43362</v>
      </c>
      <c r="E190" s="27">
        <v>2303.42</v>
      </c>
      <c r="F190" s="27" t="s">
        <v>1170</v>
      </c>
      <c r="G190" s="27" t="s">
        <v>1171</v>
      </c>
      <c r="H190" s="27" t="s">
        <v>106</v>
      </c>
      <c r="I190" s="27">
        <v>2</v>
      </c>
    </row>
    <row r="191" spans="1:9" x14ac:dyDescent="0.25">
      <c r="A191" s="27" t="s">
        <v>2213</v>
      </c>
      <c r="B191" s="27" t="s">
        <v>111</v>
      </c>
      <c r="C191" s="27">
        <v>0</v>
      </c>
      <c r="D191" s="28">
        <v>43363</v>
      </c>
      <c r="E191" s="27">
        <v>1667.99</v>
      </c>
      <c r="F191" s="27" t="s">
        <v>1172</v>
      </c>
      <c r="G191" s="27" t="s">
        <v>1173</v>
      </c>
      <c r="H191" s="27" t="s">
        <v>106</v>
      </c>
      <c r="I191" s="27">
        <v>0</v>
      </c>
    </row>
    <row r="192" spans="1:9" x14ac:dyDescent="0.25">
      <c r="A192" s="27" t="s">
        <v>2213</v>
      </c>
      <c r="B192" s="27" t="s">
        <v>111</v>
      </c>
      <c r="C192" s="27">
        <v>0</v>
      </c>
      <c r="D192" s="28">
        <v>43363</v>
      </c>
      <c r="E192" s="27">
        <v>-4130.26</v>
      </c>
      <c r="F192" s="27" t="s">
        <v>1174</v>
      </c>
      <c r="G192" s="27" t="s">
        <v>1175</v>
      </c>
      <c r="H192" s="27" t="s">
        <v>106</v>
      </c>
      <c r="I192" s="27">
        <v>2</v>
      </c>
    </row>
    <row r="193" spans="1:9" x14ac:dyDescent="0.25">
      <c r="A193" s="27" t="s">
        <v>2213</v>
      </c>
      <c r="B193" s="27" t="s">
        <v>111</v>
      </c>
      <c r="C193" s="27">
        <v>0</v>
      </c>
      <c r="D193" s="28">
        <v>43370</v>
      </c>
      <c r="E193" s="27">
        <v>1747.42</v>
      </c>
      <c r="F193" s="27" t="s">
        <v>1176</v>
      </c>
      <c r="G193" s="27" t="s">
        <v>1177</v>
      </c>
      <c r="H193" s="27" t="s">
        <v>106</v>
      </c>
      <c r="I193" s="27">
        <v>0</v>
      </c>
    </row>
    <row r="194" spans="1:9" x14ac:dyDescent="0.25">
      <c r="A194" s="27" t="s">
        <v>2213</v>
      </c>
      <c r="B194" s="27" t="s">
        <v>111</v>
      </c>
      <c r="C194" s="27">
        <v>0</v>
      </c>
      <c r="D194" s="28">
        <v>43370</v>
      </c>
      <c r="E194" s="27">
        <v>953.13</v>
      </c>
      <c r="F194" s="27" t="s">
        <v>1178</v>
      </c>
      <c r="G194" s="27" t="s">
        <v>1179</v>
      </c>
      <c r="H194" s="27" t="s">
        <v>106</v>
      </c>
      <c r="I194" s="27">
        <v>2</v>
      </c>
    </row>
    <row r="195" spans="1:9" x14ac:dyDescent="0.25">
      <c r="A195" s="27" t="s">
        <v>2213</v>
      </c>
      <c r="B195" s="27" t="s">
        <v>111</v>
      </c>
      <c r="C195" s="27">
        <v>0</v>
      </c>
      <c r="D195" s="28">
        <v>43371</v>
      </c>
      <c r="E195" s="27">
        <v>-2541.6999999999998</v>
      </c>
      <c r="F195" s="27" t="s">
        <v>1180</v>
      </c>
      <c r="G195" s="27" t="s">
        <v>1181</v>
      </c>
      <c r="H195" s="27" t="s">
        <v>106</v>
      </c>
      <c r="I195" s="27">
        <v>0</v>
      </c>
    </row>
    <row r="196" spans="1:9" x14ac:dyDescent="0.25">
      <c r="A196" s="27" t="s">
        <v>2213</v>
      </c>
      <c r="B196" s="27" t="s">
        <v>111</v>
      </c>
      <c r="C196" s="27">
        <v>0</v>
      </c>
      <c r="D196" s="28">
        <v>43371</v>
      </c>
      <c r="E196" s="27">
        <v>476.57</v>
      </c>
      <c r="F196" s="27" t="s">
        <v>1182</v>
      </c>
      <c r="G196" s="27" t="s">
        <v>1183</v>
      </c>
      <c r="H196" s="27" t="s">
        <v>106</v>
      </c>
      <c r="I196" s="27">
        <v>1</v>
      </c>
    </row>
    <row r="197" spans="1:9" x14ac:dyDescent="0.25">
      <c r="A197" s="27" t="s">
        <v>2213</v>
      </c>
      <c r="B197" s="27" t="s">
        <v>111</v>
      </c>
      <c r="C197" s="27">
        <v>0</v>
      </c>
      <c r="D197" s="28">
        <v>43374</v>
      </c>
      <c r="E197" s="27">
        <v>-476.57</v>
      </c>
      <c r="F197" s="27" t="s">
        <v>1184</v>
      </c>
      <c r="G197" s="27" t="s">
        <v>1185</v>
      </c>
      <c r="H197" s="27" t="s">
        <v>106</v>
      </c>
      <c r="I197" s="27">
        <v>0</v>
      </c>
    </row>
    <row r="198" spans="1:9" x14ac:dyDescent="0.25">
      <c r="A198" s="27" t="s">
        <v>2213</v>
      </c>
      <c r="B198" s="27" t="s">
        <v>111</v>
      </c>
      <c r="C198" s="27">
        <v>0</v>
      </c>
      <c r="D198" s="28">
        <v>43374</v>
      </c>
      <c r="E198" s="27">
        <v>3018.27</v>
      </c>
      <c r="F198" s="27" t="s">
        <v>1186</v>
      </c>
      <c r="G198" s="27" t="s">
        <v>1187</v>
      </c>
      <c r="H198" s="27" t="s">
        <v>106</v>
      </c>
      <c r="I198" s="27">
        <v>2</v>
      </c>
    </row>
    <row r="199" spans="1:9" x14ac:dyDescent="0.25">
      <c r="A199" s="27" t="s">
        <v>2213</v>
      </c>
      <c r="B199" s="27" t="s">
        <v>111</v>
      </c>
      <c r="C199" s="27">
        <v>0</v>
      </c>
      <c r="D199" s="28">
        <v>43375</v>
      </c>
      <c r="E199" s="27">
        <v>-6989.67</v>
      </c>
      <c r="F199" s="27" t="s">
        <v>1188</v>
      </c>
      <c r="G199" s="27" t="s">
        <v>1189</v>
      </c>
      <c r="H199" s="27" t="s">
        <v>106</v>
      </c>
      <c r="I199" s="27">
        <v>0</v>
      </c>
    </row>
    <row r="200" spans="1:9" x14ac:dyDescent="0.25">
      <c r="A200" s="27" t="s">
        <v>2213</v>
      </c>
      <c r="B200" s="27" t="s">
        <v>111</v>
      </c>
      <c r="C200" s="27">
        <v>0</v>
      </c>
      <c r="D200" s="28">
        <v>43375</v>
      </c>
      <c r="E200" s="27">
        <v>3971.4</v>
      </c>
      <c r="F200" s="27" t="s">
        <v>1190</v>
      </c>
      <c r="G200" s="27" t="s">
        <v>1191</v>
      </c>
      <c r="H200" s="27" t="s">
        <v>106</v>
      </c>
      <c r="I200" s="27">
        <v>1</v>
      </c>
    </row>
    <row r="201" spans="1:9" x14ac:dyDescent="0.25">
      <c r="A201" s="27" t="s">
        <v>2213</v>
      </c>
      <c r="B201" s="27" t="s">
        <v>111</v>
      </c>
      <c r="C201" s="27">
        <v>0</v>
      </c>
      <c r="D201" s="28">
        <v>43375</v>
      </c>
      <c r="E201" s="27">
        <v>-2462.27</v>
      </c>
      <c r="F201" s="27" t="s">
        <v>1192</v>
      </c>
      <c r="G201" s="27" t="s">
        <v>1193</v>
      </c>
      <c r="H201" s="27" t="s">
        <v>106</v>
      </c>
      <c r="I201" s="27">
        <v>2</v>
      </c>
    </row>
    <row r="202" spans="1:9" x14ac:dyDescent="0.25">
      <c r="A202" s="27" t="s">
        <v>2213</v>
      </c>
      <c r="B202" s="27" t="s">
        <v>111</v>
      </c>
      <c r="C202" s="27">
        <v>0</v>
      </c>
      <c r="D202" s="28">
        <v>43378</v>
      </c>
      <c r="E202" s="27">
        <v>2462.27</v>
      </c>
      <c r="F202" s="27" t="s">
        <v>1194</v>
      </c>
      <c r="G202" s="27" t="s">
        <v>1195</v>
      </c>
      <c r="H202" s="27" t="s">
        <v>106</v>
      </c>
      <c r="I202" s="27">
        <v>0</v>
      </c>
    </row>
    <row r="203" spans="1:9" x14ac:dyDescent="0.25">
      <c r="A203" s="27" t="s">
        <v>2213</v>
      </c>
      <c r="B203" s="27" t="s">
        <v>111</v>
      </c>
      <c r="C203" s="27">
        <v>0</v>
      </c>
      <c r="D203" s="28">
        <v>43378</v>
      </c>
      <c r="E203" s="27">
        <v>397.14</v>
      </c>
      <c r="F203" s="27" t="s">
        <v>1196</v>
      </c>
      <c r="G203" s="27" t="s">
        <v>1197</v>
      </c>
      <c r="H203" s="27" t="s">
        <v>106</v>
      </c>
      <c r="I203" s="27">
        <v>2</v>
      </c>
    </row>
    <row r="204" spans="1:9" x14ac:dyDescent="0.25">
      <c r="A204" s="27" t="s">
        <v>2213</v>
      </c>
      <c r="B204" s="27" t="s">
        <v>111</v>
      </c>
      <c r="C204" s="27">
        <v>0</v>
      </c>
      <c r="D204" s="28">
        <v>43381</v>
      </c>
      <c r="E204" s="27">
        <v>-4368.54</v>
      </c>
      <c r="F204" s="27" t="s">
        <v>1198</v>
      </c>
      <c r="G204" s="27" t="s">
        <v>1199</v>
      </c>
      <c r="H204" s="27" t="s">
        <v>106</v>
      </c>
      <c r="I204" s="27">
        <v>0</v>
      </c>
    </row>
    <row r="205" spans="1:9" x14ac:dyDescent="0.25">
      <c r="A205" s="27" t="s">
        <v>2213</v>
      </c>
      <c r="B205" s="27" t="s">
        <v>111</v>
      </c>
      <c r="C205" s="27">
        <v>0</v>
      </c>
      <c r="D205" s="28">
        <v>43381</v>
      </c>
      <c r="E205" s="27">
        <v>5798.25</v>
      </c>
      <c r="F205" s="27" t="s">
        <v>1200</v>
      </c>
      <c r="G205" s="27" t="s">
        <v>1201</v>
      </c>
      <c r="H205" s="27" t="s">
        <v>106</v>
      </c>
      <c r="I205" s="27">
        <v>2</v>
      </c>
    </row>
    <row r="206" spans="1:9" x14ac:dyDescent="0.25">
      <c r="A206" s="27" t="s">
        <v>2213</v>
      </c>
      <c r="B206" s="27" t="s">
        <v>111</v>
      </c>
      <c r="C206" s="27">
        <v>0</v>
      </c>
      <c r="D206" s="28">
        <v>43382</v>
      </c>
      <c r="E206" s="27">
        <v>10087.370000000001</v>
      </c>
      <c r="F206" s="27" t="s">
        <v>1202</v>
      </c>
      <c r="G206" s="27" t="s">
        <v>1203</v>
      </c>
      <c r="H206" s="27" t="s">
        <v>106</v>
      </c>
      <c r="I206" s="27">
        <v>0</v>
      </c>
    </row>
    <row r="207" spans="1:9" x14ac:dyDescent="0.25">
      <c r="A207" s="27" t="s">
        <v>2213</v>
      </c>
      <c r="B207" s="27" t="s">
        <v>111</v>
      </c>
      <c r="C207" s="27">
        <v>0</v>
      </c>
      <c r="D207" s="28">
        <v>43382</v>
      </c>
      <c r="E207" s="27">
        <v>-3415.41</v>
      </c>
      <c r="F207" s="27" t="s">
        <v>1204</v>
      </c>
      <c r="G207" s="27" t="s">
        <v>1205</v>
      </c>
      <c r="H207" s="27" t="s">
        <v>106</v>
      </c>
      <c r="I207" s="27">
        <v>2</v>
      </c>
    </row>
    <row r="208" spans="1:9" x14ac:dyDescent="0.25">
      <c r="A208" s="27" t="s">
        <v>2213</v>
      </c>
      <c r="B208" s="27" t="s">
        <v>111</v>
      </c>
      <c r="C208" s="27">
        <v>0</v>
      </c>
      <c r="D208" s="28">
        <v>43383</v>
      </c>
      <c r="E208" s="27">
        <v>7386.82</v>
      </c>
      <c r="F208" s="27" t="s">
        <v>1206</v>
      </c>
      <c r="G208" s="27" t="s">
        <v>1207</v>
      </c>
      <c r="H208" s="27" t="s">
        <v>106</v>
      </c>
      <c r="I208" s="27">
        <v>0</v>
      </c>
    </row>
    <row r="209" spans="1:9" x14ac:dyDescent="0.25">
      <c r="A209" s="27" t="s">
        <v>2213</v>
      </c>
      <c r="B209" s="27" t="s">
        <v>111</v>
      </c>
      <c r="C209" s="27">
        <v>0</v>
      </c>
      <c r="D209" s="28">
        <v>43383</v>
      </c>
      <c r="E209" s="27">
        <v>1429.7</v>
      </c>
      <c r="F209" s="27" t="s">
        <v>1208</v>
      </c>
      <c r="G209" s="27" t="s">
        <v>1209</v>
      </c>
      <c r="H209" s="27" t="s">
        <v>106</v>
      </c>
      <c r="I209" s="27">
        <v>2</v>
      </c>
    </row>
    <row r="210" spans="1:9" x14ac:dyDescent="0.25">
      <c r="A210" s="27" t="s">
        <v>2213</v>
      </c>
      <c r="B210" s="27" t="s">
        <v>111</v>
      </c>
      <c r="C210" s="27">
        <v>0</v>
      </c>
      <c r="D210" s="28">
        <v>43384</v>
      </c>
      <c r="E210" s="27">
        <v>6513.11</v>
      </c>
      <c r="F210" s="27" t="s">
        <v>1210</v>
      </c>
      <c r="G210" s="27" t="s">
        <v>1211</v>
      </c>
      <c r="H210" s="27" t="s">
        <v>106</v>
      </c>
      <c r="I210" s="27">
        <v>0</v>
      </c>
    </row>
    <row r="211" spans="1:9" x14ac:dyDescent="0.25">
      <c r="A211" s="27" t="s">
        <v>2213</v>
      </c>
      <c r="B211" s="27" t="s">
        <v>111</v>
      </c>
      <c r="C211" s="27">
        <v>0</v>
      </c>
      <c r="D211" s="28">
        <v>43384</v>
      </c>
      <c r="E211" s="27">
        <v>1667.99</v>
      </c>
      <c r="F211" s="27" t="s">
        <v>1212</v>
      </c>
      <c r="G211" s="27" t="s">
        <v>1213</v>
      </c>
      <c r="H211" s="27" t="s">
        <v>106</v>
      </c>
      <c r="I211" s="27">
        <v>6</v>
      </c>
    </row>
    <row r="212" spans="1:9" x14ac:dyDescent="0.25">
      <c r="A212" s="27" t="s">
        <v>2213</v>
      </c>
      <c r="B212" s="27" t="s">
        <v>111</v>
      </c>
      <c r="C212" s="27">
        <v>0</v>
      </c>
      <c r="D212" s="28">
        <v>43389</v>
      </c>
      <c r="E212" s="27">
        <v>-25496.43</v>
      </c>
      <c r="F212" s="27" t="s">
        <v>1214</v>
      </c>
      <c r="G212" s="27" t="s">
        <v>1215</v>
      </c>
      <c r="H212" s="27" t="s">
        <v>106</v>
      </c>
      <c r="I212" s="27">
        <v>0</v>
      </c>
    </row>
    <row r="213" spans="1:9" x14ac:dyDescent="0.25">
      <c r="A213" s="27" t="s">
        <v>2213</v>
      </c>
      <c r="B213" s="27" t="s">
        <v>111</v>
      </c>
      <c r="C213" s="27">
        <v>0</v>
      </c>
      <c r="D213" s="28">
        <v>43389</v>
      </c>
      <c r="E213" s="27">
        <v>47180.31</v>
      </c>
      <c r="F213" s="27" t="s">
        <v>1216</v>
      </c>
      <c r="G213" s="27" t="s">
        <v>1217</v>
      </c>
      <c r="H213" s="27" t="s">
        <v>106</v>
      </c>
      <c r="I213" s="27">
        <v>2</v>
      </c>
    </row>
    <row r="214" spans="1:9" x14ac:dyDescent="0.25">
      <c r="A214" s="27" t="s">
        <v>2213</v>
      </c>
      <c r="B214" s="27" t="s">
        <v>111</v>
      </c>
      <c r="C214" s="27">
        <v>0</v>
      </c>
      <c r="D214" s="28">
        <v>43390</v>
      </c>
      <c r="E214" s="27">
        <v>476.56</v>
      </c>
      <c r="F214" s="27" t="s">
        <v>1218</v>
      </c>
      <c r="G214" s="27" t="s">
        <v>1219</v>
      </c>
      <c r="H214" s="27" t="s">
        <v>106</v>
      </c>
      <c r="I214" s="27">
        <v>0</v>
      </c>
    </row>
    <row r="215" spans="1:9" x14ac:dyDescent="0.25">
      <c r="A215" s="27" t="s">
        <v>2213</v>
      </c>
      <c r="B215" s="27" t="s">
        <v>111</v>
      </c>
      <c r="C215" s="27">
        <v>0</v>
      </c>
      <c r="D215" s="28">
        <v>43390</v>
      </c>
      <c r="E215" s="27">
        <v>317.72000000000003</v>
      </c>
      <c r="F215" s="27" t="s">
        <v>1220</v>
      </c>
      <c r="G215" s="27" t="s">
        <v>1221</v>
      </c>
      <c r="H215" s="27" t="s">
        <v>106</v>
      </c>
      <c r="I215" s="27">
        <v>2</v>
      </c>
    </row>
    <row r="216" spans="1:9" x14ac:dyDescent="0.25">
      <c r="A216" s="27" t="s">
        <v>2213</v>
      </c>
      <c r="B216" s="27" t="s">
        <v>111</v>
      </c>
      <c r="C216" s="27">
        <v>0</v>
      </c>
      <c r="D216" s="28">
        <v>43391</v>
      </c>
      <c r="E216" s="27">
        <v>15567.91</v>
      </c>
      <c r="F216" s="27" t="s">
        <v>1222</v>
      </c>
      <c r="G216" s="27" t="s">
        <v>1223</v>
      </c>
      <c r="H216" s="27" t="s">
        <v>106</v>
      </c>
      <c r="I216" s="27">
        <v>0</v>
      </c>
    </row>
    <row r="217" spans="1:9" x14ac:dyDescent="0.25">
      <c r="A217" s="27" t="s">
        <v>2213</v>
      </c>
      <c r="B217" s="27" t="s">
        <v>111</v>
      </c>
      <c r="C217" s="27">
        <v>0</v>
      </c>
      <c r="D217" s="28">
        <v>43391</v>
      </c>
      <c r="E217" s="27">
        <v>79.430000000000007</v>
      </c>
      <c r="F217" s="27" t="s">
        <v>1224</v>
      </c>
      <c r="G217" s="27" t="s">
        <v>1225</v>
      </c>
      <c r="H217" s="27" t="s">
        <v>106</v>
      </c>
      <c r="I217" s="27">
        <v>2</v>
      </c>
    </row>
    <row r="218" spans="1:9" x14ac:dyDescent="0.25">
      <c r="A218" s="27" t="s">
        <v>2213</v>
      </c>
      <c r="B218" s="27" t="s">
        <v>111</v>
      </c>
      <c r="C218" s="27">
        <v>0</v>
      </c>
      <c r="D218" s="28">
        <v>43392</v>
      </c>
      <c r="E218" s="27">
        <v>-31850.68</v>
      </c>
      <c r="F218" s="27" t="s">
        <v>1226</v>
      </c>
      <c r="G218" s="27" t="s">
        <v>1227</v>
      </c>
      <c r="H218" s="27" t="s">
        <v>106</v>
      </c>
      <c r="I218" s="27">
        <v>0</v>
      </c>
    </row>
    <row r="219" spans="1:9" x14ac:dyDescent="0.25">
      <c r="A219" s="27" t="s">
        <v>2213</v>
      </c>
      <c r="B219" s="27" t="s">
        <v>111</v>
      </c>
      <c r="C219" s="27">
        <v>0</v>
      </c>
      <c r="D219" s="28">
        <v>43392</v>
      </c>
      <c r="E219" s="27">
        <v>-10087.370000000001</v>
      </c>
      <c r="F219" s="27" t="s">
        <v>1228</v>
      </c>
      <c r="G219" s="27" t="s">
        <v>1229</v>
      </c>
      <c r="H219" s="27" t="s">
        <v>106</v>
      </c>
      <c r="I219" s="27">
        <v>2</v>
      </c>
    </row>
    <row r="220" spans="1:9" x14ac:dyDescent="0.25">
      <c r="A220" s="27" t="s">
        <v>2213</v>
      </c>
      <c r="B220" s="27" t="s">
        <v>111</v>
      </c>
      <c r="C220" s="27">
        <v>0</v>
      </c>
      <c r="D220" s="28">
        <v>43395</v>
      </c>
      <c r="E220" s="27">
        <v>-5798.25</v>
      </c>
      <c r="F220" s="27" t="s">
        <v>1230</v>
      </c>
      <c r="G220" s="27" t="s">
        <v>1231</v>
      </c>
      <c r="H220" s="27" t="s">
        <v>106</v>
      </c>
      <c r="I220" s="27">
        <v>0</v>
      </c>
    </row>
    <row r="221" spans="1:9" x14ac:dyDescent="0.25">
      <c r="A221" s="27" t="s">
        <v>2213</v>
      </c>
      <c r="B221" s="27" t="s">
        <v>111</v>
      </c>
      <c r="C221" s="27">
        <v>0</v>
      </c>
      <c r="D221" s="28">
        <v>43395</v>
      </c>
      <c r="E221" s="27">
        <v>-14694.2</v>
      </c>
      <c r="F221" s="27" t="s">
        <v>1232</v>
      </c>
      <c r="G221" s="27" t="s">
        <v>1233</v>
      </c>
      <c r="H221" s="27" t="s">
        <v>106</v>
      </c>
      <c r="I221" s="27">
        <v>2</v>
      </c>
    </row>
    <row r="222" spans="1:9" x14ac:dyDescent="0.25">
      <c r="A222" s="27" t="s">
        <v>2213</v>
      </c>
      <c r="B222" s="27" t="s">
        <v>111</v>
      </c>
      <c r="C222" s="27">
        <v>0</v>
      </c>
      <c r="D222" s="28">
        <v>43398</v>
      </c>
      <c r="E222" s="27">
        <v>397.14</v>
      </c>
      <c r="F222" s="27" t="s">
        <v>1234</v>
      </c>
      <c r="G222" s="27" t="s">
        <v>1235</v>
      </c>
      <c r="H222" s="27" t="s">
        <v>106</v>
      </c>
      <c r="I222" s="27">
        <v>0</v>
      </c>
    </row>
    <row r="223" spans="1:9" x14ac:dyDescent="0.25">
      <c r="A223" s="27" t="s">
        <v>2213</v>
      </c>
      <c r="B223" s="27" t="s">
        <v>111</v>
      </c>
      <c r="C223" s="27">
        <v>0</v>
      </c>
      <c r="D223" s="28">
        <v>43398</v>
      </c>
      <c r="E223" s="27">
        <v>-5321.69</v>
      </c>
      <c r="F223" s="27" t="s">
        <v>1236</v>
      </c>
      <c r="G223" s="27" t="s">
        <v>1237</v>
      </c>
      <c r="H223" s="27" t="s">
        <v>106</v>
      </c>
      <c r="I223" s="27">
        <v>2</v>
      </c>
    </row>
    <row r="224" spans="1:9" x14ac:dyDescent="0.25">
      <c r="A224" s="27" t="s">
        <v>2213</v>
      </c>
      <c r="B224" s="27" t="s">
        <v>111</v>
      </c>
      <c r="C224" s="27">
        <v>0</v>
      </c>
      <c r="D224" s="28">
        <v>43399</v>
      </c>
      <c r="E224" s="27">
        <v>5321.69</v>
      </c>
      <c r="F224" s="27" t="s">
        <v>1238</v>
      </c>
      <c r="G224" s="27" t="s">
        <v>1239</v>
      </c>
      <c r="H224" s="27" t="s">
        <v>106</v>
      </c>
      <c r="I224" s="27">
        <v>0</v>
      </c>
    </row>
    <row r="225" spans="1:9" x14ac:dyDescent="0.25">
      <c r="A225" s="27" t="s">
        <v>2213</v>
      </c>
      <c r="B225" s="27" t="s">
        <v>111</v>
      </c>
      <c r="C225" s="27">
        <v>0</v>
      </c>
      <c r="D225" s="28">
        <v>43399</v>
      </c>
      <c r="E225" s="27">
        <v>-1667.99</v>
      </c>
      <c r="F225" s="27" t="s">
        <v>1240</v>
      </c>
      <c r="G225" s="27" t="s">
        <v>1241</v>
      </c>
      <c r="H225" s="27" t="s">
        <v>106</v>
      </c>
      <c r="I225" s="27">
        <v>2</v>
      </c>
    </row>
    <row r="226" spans="1:9" x14ac:dyDescent="0.25">
      <c r="A226" s="27" t="s">
        <v>2213</v>
      </c>
      <c r="B226" s="27" t="s">
        <v>111</v>
      </c>
      <c r="C226" s="27">
        <v>0</v>
      </c>
      <c r="D226" s="28">
        <v>43402</v>
      </c>
      <c r="E226" s="27">
        <v>-1509.14</v>
      </c>
      <c r="F226" s="27" t="s">
        <v>1242</v>
      </c>
      <c r="G226" s="27" t="s">
        <v>1243</v>
      </c>
      <c r="H226" s="27" t="s">
        <v>106</v>
      </c>
      <c r="I226" s="27">
        <v>0</v>
      </c>
    </row>
    <row r="227" spans="1:9" x14ac:dyDescent="0.25">
      <c r="A227" s="27" t="s">
        <v>2213</v>
      </c>
      <c r="B227" s="27" t="s">
        <v>111</v>
      </c>
      <c r="C227" s="27">
        <v>0</v>
      </c>
      <c r="D227" s="28">
        <v>43402</v>
      </c>
      <c r="E227" s="27">
        <v>-794.28</v>
      </c>
      <c r="F227" s="27" t="s">
        <v>1244</v>
      </c>
      <c r="G227" s="27" t="s">
        <v>1245</v>
      </c>
      <c r="H227" s="27" t="s">
        <v>106</v>
      </c>
      <c r="I227" s="27">
        <v>2</v>
      </c>
    </row>
    <row r="228" spans="1:9" x14ac:dyDescent="0.25">
      <c r="A228" s="27" t="s">
        <v>2213</v>
      </c>
      <c r="B228" s="27" t="s">
        <v>111</v>
      </c>
      <c r="C228" s="27">
        <v>0</v>
      </c>
      <c r="D228" s="28">
        <v>43403</v>
      </c>
      <c r="E228" s="27">
        <v>-7942.81</v>
      </c>
      <c r="F228" s="27" t="s">
        <v>1246</v>
      </c>
      <c r="G228" s="27" t="s">
        <v>1247</v>
      </c>
      <c r="H228" s="27" t="s">
        <v>106</v>
      </c>
      <c r="I228" s="27">
        <v>0</v>
      </c>
    </row>
    <row r="229" spans="1:9" x14ac:dyDescent="0.25">
      <c r="A229" s="27" t="s">
        <v>2213</v>
      </c>
      <c r="B229" s="27" t="s">
        <v>111</v>
      </c>
      <c r="C229" s="27">
        <v>0</v>
      </c>
      <c r="D229" s="28">
        <v>43403</v>
      </c>
      <c r="E229" s="27">
        <v>6354.25</v>
      </c>
      <c r="F229" s="27" t="s">
        <v>1248</v>
      </c>
      <c r="G229" s="27" t="s">
        <v>1249</v>
      </c>
      <c r="H229" s="27" t="s">
        <v>106</v>
      </c>
      <c r="I229" s="27">
        <v>1</v>
      </c>
    </row>
    <row r="230" spans="1:9" x14ac:dyDescent="0.25">
      <c r="A230" s="27" t="s">
        <v>2213</v>
      </c>
      <c r="B230" s="27" t="s">
        <v>111</v>
      </c>
      <c r="C230" s="27">
        <v>0</v>
      </c>
      <c r="D230" s="28">
        <v>43403</v>
      </c>
      <c r="E230" s="27">
        <v>794.28</v>
      </c>
      <c r="F230" s="27" t="s">
        <v>1250</v>
      </c>
      <c r="G230" s="27" t="s">
        <v>1251</v>
      </c>
      <c r="H230" s="27" t="s">
        <v>106</v>
      </c>
      <c r="I230" s="27">
        <v>2</v>
      </c>
    </row>
    <row r="231" spans="1:9" x14ac:dyDescent="0.25">
      <c r="A231" s="27" t="s">
        <v>2213</v>
      </c>
      <c r="B231" s="27" t="s">
        <v>111</v>
      </c>
      <c r="C231" s="27">
        <v>0</v>
      </c>
      <c r="D231" s="28">
        <v>43404</v>
      </c>
      <c r="E231" s="27">
        <v>-794.28</v>
      </c>
      <c r="F231" s="27" t="s">
        <v>1252</v>
      </c>
      <c r="G231" s="27" t="s">
        <v>1253</v>
      </c>
      <c r="H231" s="27" t="s">
        <v>106</v>
      </c>
      <c r="I231" s="27">
        <v>0</v>
      </c>
    </row>
    <row r="232" spans="1:9" x14ac:dyDescent="0.25">
      <c r="A232" s="27" t="s">
        <v>2213</v>
      </c>
      <c r="B232" s="27" t="s">
        <v>111</v>
      </c>
      <c r="C232" s="27">
        <v>0</v>
      </c>
      <c r="D232" s="28">
        <v>43404</v>
      </c>
      <c r="E232" s="27">
        <v>-79.430000000000007</v>
      </c>
      <c r="F232" s="27" t="s">
        <v>1254</v>
      </c>
      <c r="G232" s="27" t="s">
        <v>1255</v>
      </c>
      <c r="H232" s="27" t="s">
        <v>106</v>
      </c>
      <c r="I232" s="27">
        <v>2</v>
      </c>
    </row>
    <row r="233" spans="1:9" x14ac:dyDescent="0.25">
      <c r="A233" s="27" t="s">
        <v>474</v>
      </c>
      <c r="B233" s="27" t="s">
        <v>111</v>
      </c>
      <c r="C233" s="27">
        <v>0</v>
      </c>
      <c r="D233" s="28">
        <v>43242</v>
      </c>
      <c r="E233" s="27">
        <v>79.430000000000007</v>
      </c>
      <c r="F233" s="27" t="s">
        <v>1256</v>
      </c>
      <c r="G233" s="27" t="s">
        <v>1257</v>
      </c>
      <c r="H233" s="27" t="s">
        <v>106</v>
      </c>
      <c r="I233" s="27">
        <v>3</v>
      </c>
    </row>
    <row r="234" spans="1:9" x14ac:dyDescent="0.25">
      <c r="A234" s="27" t="s">
        <v>474</v>
      </c>
      <c r="B234" s="27" t="s">
        <v>111</v>
      </c>
      <c r="C234" s="27">
        <v>0</v>
      </c>
      <c r="D234" s="28">
        <v>43243</v>
      </c>
      <c r="E234" s="27">
        <v>238.28</v>
      </c>
      <c r="F234" s="27" t="s">
        <v>1258</v>
      </c>
      <c r="G234" s="27" t="s">
        <v>1259</v>
      </c>
      <c r="H234" s="27" t="s">
        <v>106</v>
      </c>
      <c r="I234" s="27">
        <v>2</v>
      </c>
    </row>
    <row r="235" spans="1:9" x14ac:dyDescent="0.25">
      <c r="A235" s="27" t="s">
        <v>474</v>
      </c>
      <c r="B235" s="27" t="s">
        <v>111</v>
      </c>
      <c r="C235" s="27">
        <v>0</v>
      </c>
      <c r="D235" s="28">
        <v>43244</v>
      </c>
      <c r="E235" s="27">
        <v>-158.85</v>
      </c>
      <c r="F235" s="27" t="s">
        <v>1260</v>
      </c>
      <c r="G235" s="27" t="s">
        <v>1261</v>
      </c>
      <c r="H235" s="27" t="s">
        <v>106</v>
      </c>
      <c r="I235" s="27">
        <v>2</v>
      </c>
    </row>
    <row r="236" spans="1:9" x14ac:dyDescent="0.25">
      <c r="A236" s="27" t="s">
        <v>474</v>
      </c>
      <c r="B236" s="27" t="s">
        <v>111</v>
      </c>
      <c r="C236" s="27">
        <v>0</v>
      </c>
      <c r="D236" s="28">
        <v>43244</v>
      </c>
      <c r="E236" s="27">
        <v>317.70999999999998</v>
      </c>
      <c r="F236" s="27" t="s">
        <v>1262</v>
      </c>
      <c r="G236" s="27" t="s">
        <v>1263</v>
      </c>
      <c r="H236" s="27" t="s">
        <v>106</v>
      </c>
      <c r="I236" s="27">
        <v>3</v>
      </c>
    </row>
    <row r="237" spans="1:9" x14ac:dyDescent="0.25">
      <c r="A237" s="27" t="s">
        <v>474</v>
      </c>
      <c r="B237" s="27" t="s">
        <v>111</v>
      </c>
      <c r="C237" s="27">
        <v>0</v>
      </c>
      <c r="D237" s="28">
        <v>43244</v>
      </c>
      <c r="E237" s="27">
        <v>79.430000000000007</v>
      </c>
      <c r="F237" s="27" t="s">
        <v>1264</v>
      </c>
      <c r="G237" s="27" t="s">
        <v>1265</v>
      </c>
      <c r="H237" s="27" t="s">
        <v>106</v>
      </c>
      <c r="I237" s="27">
        <v>4</v>
      </c>
    </row>
    <row r="238" spans="1:9" x14ac:dyDescent="0.25">
      <c r="A238" s="27" t="s">
        <v>474</v>
      </c>
      <c r="B238" s="27" t="s">
        <v>111</v>
      </c>
      <c r="C238" s="27">
        <v>0</v>
      </c>
      <c r="D238" s="28">
        <v>43252</v>
      </c>
      <c r="E238" s="27">
        <v>-79.430000000000007</v>
      </c>
      <c r="F238" s="27" t="s">
        <v>1266</v>
      </c>
      <c r="G238" s="27" t="s">
        <v>1267</v>
      </c>
      <c r="H238" s="27" t="s">
        <v>106</v>
      </c>
      <c r="I238" s="27">
        <v>2</v>
      </c>
    </row>
    <row r="239" spans="1:9" x14ac:dyDescent="0.25">
      <c r="A239" s="27" t="s">
        <v>474</v>
      </c>
      <c r="B239" s="27" t="s">
        <v>111</v>
      </c>
      <c r="C239" s="27">
        <v>0</v>
      </c>
      <c r="D239" s="28">
        <v>43255</v>
      </c>
      <c r="E239" s="27">
        <v>-158.86000000000001</v>
      </c>
      <c r="F239" s="27" t="s">
        <v>1268</v>
      </c>
      <c r="G239" s="27" t="s">
        <v>1269</v>
      </c>
      <c r="H239" s="27" t="s">
        <v>106</v>
      </c>
      <c r="I239" s="27">
        <v>2</v>
      </c>
    </row>
    <row r="240" spans="1:9" x14ac:dyDescent="0.25">
      <c r="A240" s="27" t="s">
        <v>474</v>
      </c>
      <c r="B240" s="27" t="s">
        <v>111</v>
      </c>
      <c r="C240" s="27">
        <v>0</v>
      </c>
      <c r="D240" s="28">
        <v>43255</v>
      </c>
      <c r="E240" s="27">
        <v>1191.42</v>
      </c>
      <c r="F240" s="27" t="s">
        <v>1270</v>
      </c>
      <c r="G240" s="27" t="s">
        <v>1271</v>
      </c>
      <c r="H240" s="27" t="s">
        <v>106</v>
      </c>
      <c r="I240" s="27">
        <v>3</v>
      </c>
    </row>
    <row r="241" spans="1:9" x14ac:dyDescent="0.25">
      <c r="A241" s="27" t="s">
        <v>474</v>
      </c>
      <c r="B241" s="27" t="s">
        <v>111</v>
      </c>
      <c r="C241" s="27">
        <v>0</v>
      </c>
      <c r="D241" s="28">
        <v>43255</v>
      </c>
      <c r="E241" s="27">
        <v>-397.14</v>
      </c>
      <c r="F241" s="27" t="s">
        <v>1272</v>
      </c>
      <c r="G241" s="27" t="s">
        <v>1273</v>
      </c>
      <c r="H241" s="27" t="s">
        <v>106</v>
      </c>
      <c r="I241" s="27">
        <v>4</v>
      </c>
    </row>
    <row r="242" spans="1:9" x14ac:dyDescent="0.25">
      <c r="A242" s="27" t="s">
        <v>474</v>
      </c>
      <c r="B242" s="27" t="s">
        <v>111</v>
      </c>
      <c r="C242" s="27">
        <v>0</v>
      </c>
      <c r="D242" s="28">
        <v>43256</v>
      </c>
      <c r="E242" s="27">
        <v>-873.71</v>
      </c>
      <c r="F242" s="27" t="s">
        <v>1274</v>
      </c>
      <c r="G242" s="27" t="s">
        <v>1275</v>
      </c>
      <c r="H242" s="27" t="s">
        <v>106</v>
      </c>
      <c r="I242" s="27">
        <v>1</v>
      </c>
    </row>
    <row r="243" spans="1:9" x14ac:dyDescent="0.25">
      <c r="A243" s="27" t="s">
        <v>474</v>
      </c>
      <c r="B243" s="27" t="s">
        <v>111</v>
      </c>
      <c r="C243" s="27">
        <v>0</v>
      </c>
      <c r="D243" s="28">
        <v>43256</v>
      </c>
      <c r="E243" s="27">
        <v>1747.42</v>
      </c>
      <c r="F243" s="27" t="s">
        <v>1276</v>
      </c>
      <c r="G243" s="27" t="s">
        <v>1277</v>
      </c>
      <c r="H243" s="27" t="s">
        <v>106</v>
      </c>
      <c r="I243" s="27">
        <v>2</v>
      </c>
    </row>
    <row r="244" spans="1:9" x14ac:dyDescent="0.25">
      <c r="A244" s="27" t="s">
        <v>474</v>
      </c>
      <c r="B244" s="27" t="s">
        <v>111</v>
      </c>
      <c r="C244" s="27">
        <v>0</v>
      </c>
      <c r="D244" s="28">
        <v>43256</v>
      </c>
      <c r="E244" s="27">
        <v>476.57</v>
      </c>
      <c r="F244" s="27" t="s">
        <v>1278</v>
      </c>
      <c r="G244" s="27" t="s">
        <v>1279</v>
      </c>
      <c r="H244" s="27" t="s">
        <v>106</v>
      </c>
      <c r="I244" s="27">
        <v>3</v>
      </c>
    </row>
    <row r="245" spans="1:9" x14ac:dyDescent="0.25">
      <c r="A245" s="27" t="s">
        <v>474</v>
      </c>
      <c r="B245" s="27" t="s">
        <v>111</v>
      </c>
      <c r="C245" s="27">
        <v>0</v>
      </c>
      <c r="D245" s="28">
        <v>43256</v>
      </c>
      <c r="E245" s="27">
        <v>476.57</v>
      </c>
      <c r="F245" s="27" t="s">
        <v>1280</v>
      </c>
      <c r="G245" s="27" t="s">
        <v>1281</v>
      </c>
      <c r="H245" s="27" t="s">
        <v>106</v>
      </c>
      <c r="I245" s="27">
        <v>5</v>
      </c>
    </row>
    <row r="246" spans="1:9" x14ac:dyDescent="0.25">
      <c r="A246" s="27" t="s">
        <v>474</v>
      </c>
      <c r="B246" s="27" t="s">
        <v>111</v>
      </c>
      <c r="C246" s="27">
        <v>0</v>
      </c>
      <c r="D246" s="28">
        <v>43256</v>
      </c>
      <c r="E246" s="27">
        <v>556</v>
      </c>
      <c r="F246" s="27" t="s">
        <v>1282</v>
      </c>
      <c r="G246" s="27" t="s">
        <v>1283</v>
      </c>
      <c r="H246" s="27" t="s">
        <v>106</v>
      </c>
      <c r="I246" s="27">
        <v>6</v>
      </c>
    </row>
    <row r="247" spans="1:9" x14ac:dyDescent="0.25">
      <c r="A247" s="27" t="s">
        <v>474</v>
      </c>
      <c r="B247" s="27" t="s">
        <v>111</v>
      </c>
      <c r="C247" s="27">
        <v>0</v>
      </c>
      <c r="D247" s="28">
        <v>43257</v>
      </c>
      <c r="E247" s="27">
        <v>-3177.13</v>
      </c>
      <c r="F247" s="27" t="s">
        <v>1284</v>
      </c>
      <c r="G247" s="27" t="s">
        <v>1285</v>
      </c>
      <c r="H247" s="27" t="s">
        <v>106</v>
      </c>
      <c r="I247" s="27">
        <v>1</v>
      </c>
    </row>
    <row r="248" spans="1:9" x14ac:dyDescent="0.25">
      <c r="A248" s="27" t="s">
        <v>474</v>
      </c>
      <c r="B248" s="27" t="s">
        <v>111</v>
      </c>
      <c r="C248" s="27">
        <v>0</v>
      </c>
      <c r="D248" s="28">
        <v>43257</v>
      </c>
      <c r="E248" s="27">
        <v>1667.99</v>
      </c>
      <c r="F248" s="27" t="s">
        <v>1286</v>
      </c>
      <c r="G248" s="27" t="s">
        <v>1287</v>
      </c>
      <c r="H248" s="27" t="s">
        <v>106</v>
      </c>
      <c r="I248" s="27">
        <v>3</v>
      </c>
    </row>
    <row r="249" spans="1:9" x14ac:dyDescent="0.25">
      <c r="A249" s="27" t="s">
        <v>474</v>
      </c>
      <c r="B249" s="27" t="s">
        <v>111</v>
      </c>
      <c r="C249" s="27">
        <v>0</v>
      </c>
      <c r="D249" s="28">
        <v>43257</v>
      </c>
      <c r="E249" s="27">
        <v>556</v>
      </c>
      <c r="F249" s="27" t="s">
        <v>1288</v>
      </c>
      <c r="G249" s="27" t="s">
        <v>1289</v>
      </c>
      <c r="H249" s="27" t="s">
        <v>106</v>
      </c>
      <c r="I249" s="27">
        <v>5</v>
      </c>
    </row>
    <row r="250" spans="1:9" x14ac:dyDescent="0.25">
      <c r="A250" s="27" t="s">
        <v>474</v>
      </c>
      <c r="B250" s="27" t="s">
        <v>111</v>
      </c>
      <c r="C250" s="27">
        <v>0</v>
      </c>
      <c r="D250" s="28">
        <v>43262</v>
      </c>
      <c r="E250" s="27">
        <v>-2462.27</v>
      </c>
      <c r="F250" s="27" t="s">
        <v>1290</v>
      </c>
      <c r="G250" s="27" t="s">
        <v>1291</v>
      </c>
      <c r="H250" s="27" t="s">
        <v>106</v>
      </c>
      <c r="I250" s="27">
        <v>2</v>
      </c>
    </row>
    <row r="251" spans="1:9" x14ac:dyDescent="0.25">
      <c r="A251" s="27" t="s">
        <v>474</v>
      </c>
      <c r="B251" s="27" t="s">
        <v>111</v>
      </c>
      <c r="C251" s="27">
        <v>0</v>
      </c>
      <c r="D251" s="28">
        <v>43263</v>
      </c>
      <c r="E251" s="27">
        <v>158.85</v>
      </c>
      <c r="F251" s="27" t="s">
        <v>1292</v>
      </c>
      <c r="G251" s="27" t="s">
        <v>1293</v>
      </c>
      <c r="H251" s="27" t="s">
        <v>106</v>
      </c>
      <c r="I251" s="27">
        <v>2</v>
      </c>
    </row>
    <row r="252" spans="1:9" x14ac:dyDescent="0.25">
      <c r="A252" s="27" t="s">
        <v>474</v>
      </c>
      <c r="B252" s="27" t="s">
        <v>111</v>
      </c>
      <c r="C252" s="27">
        <v>0</v>
      </c>
      <c r="D252" s="28">
        <v>43263</v>
      </c>
      <c r="E252" s="27">
        <v>317.72000000000003</v>
      </c>
      <c r="F252" s="27" t="s">
        <v>1294</v>
      </c>
      <c r="G252" s="27" t="s">
        <v>1295</v>
      </c>
      <c r="H252" s="27" t="s">
        <v>106</v>
      </c>
      <c r="I252" s="27">
        <v>3</v>
      </c>
    </row>
    <row r="253" spans="1:9" x14ac:dyDescent="0.25">
      <c r="A253" s="27" t="s">
        <v>474</v>
      </c>
      <c r="B253" s="27" t="s">
        <v>111</v>
      </c>
      <c r="C253" s="27">
        <v>0</v>
      </c>
      <c r="D253" s="28">
        <v>43264</v>
      </c>
      <c r="E253" s="27">
        <v>-476.57</v>
      </c>
      <c r="F253" s="27" t="s">
        <v>1296</v>
      </c>
      <c r="G253" s="27" t="s">
        <v>1297</v>
      </c>
      <c r="H253" s="27" t="s">
        <v>106</v>
      </c>
      <c r="I253" s="27">
        <v>3</v>
      </c>
    </row>
    <row r="254" spans="1:9" x14ac:dyDescent="0.25">
      <c r="A254" s="27" t="s">
        <v>474</v>
      </c>
      <c r="B254" s="27" t="s">
        <v>111</v>
      </c>
      <c r="C254" s="27">
        <v>0</v>
      </c>
      <c r="D254" s="28">
        <v>43265</v>
      </c>
      <c r="E254" s="27">
        <v>238.28</v>
      </c>
      <c r="F254" s="27" t="s">
        <v>1298</v>
      </c>
      <c r="G254" s="27" t="s">
        <v>1299</v>
      </c>
      <c r="H254" s="27" t="s">
        <v>106</v>
      </c>
      <c r="I254" s="27">
        <v>2</v>
      </c>
    </row>
    <row r="255" spans="1:9" x14ac:dyDescent="0.25">
      <c r="A255" s="27" t="s">
        <v>474</v>
      </c>
      <c r="B255" s="27" t="s">
        <v>111</v>
      </c>
      <c r="C255" s="27">
        <v>0</v>
      </c>
      <c r="D255" s="28">
        <v>43265</v>
      </c>
      <c r="E255" s="27">
        <v>8498.81</v>
      </c>
      <c r="F255" s="27" t="s">
        <v>1300</v>
      </c>
      <c r="G255" s="27" t="s">
        <v>1301</v>
      </c>
      <c r="H255" s="27" t="s">
        <v>106</v>
      </c>
      <c r="I255" s="27">
        <v>3</v>
      </c>
    </row>
    <row r="256" spans="1:9" x14ac:dyDescent="0.25">
      <c r="A256" s="27" t="s">
        <v>474</v>
      </c>
      <c r="B256" s="27" t="s">
        <v>111</v>
      </c>
      <c r="C256" s="27">
        <v>0</v>
      </c>
      <c r="D256" s="28">
        <v>43265</v>
      </c>
      <c r="E256" s="27">
        <v>16123.91</v>
      </c>
      <c r="F256" s="27" t="s">
        <v>1302</v>
      </c>
      <c r="G256" s="27" t="s">
        <v>1303</v>
      </c>
      <c r="H256" s="27" t="s">
        <v>106</v>
      </c>
      <c r="I256" s="27">
        <v>4</v>
      </c>
    </row>
    <row r="257" spans="1:9" x14ac:dyDescent="0.25">
      <c r="A257" s="27" t="s">
        <v>474</v>
      </c>
      <c r="B257" s="27" t="s">
        <v>111</v>
      </c>
      <c r="C257" s="27">
        <v>0</v>
      </c>
      <c r="D257" s="28">
        <v>43265</v>
      </c>
      <c r="E257" s="27">
        <v>158.86000000000001</v>
      </c>
      <c r="F257" s="27" t="s">
        <v>1304</v>
      </c>
      <c r="G257" s="27" t="s">
        <v>1305</v>
      </c>
      <c r="H257" s="27" t="s">
        <v>106</v>
      </c>
      <c r="I257" s="27">
        <v>6</v>
      </c>
    </row>
    <row r="258" spans="1:9" x14ac:dyDescent="0.25">
      <c r="A258" s="27" t="s">
        <v>474</v>
      </c>
      <c r="B258" s="27" t="s">
        <v>111</v>
      </c>
      <c r="C258" s="27">
        <v>0</v>
      </c>
      <c r="D258" s="28">
        <v>43266</v>
      </c>
      <c r="E258" s="27">
        <v>-25019.86</v>
      </c>
      <c r="F258" s="27" t="s">
        <v>1306</v>
      </c>
      <c r="G258" s="27" t="s">
        <v>1307</v>
      </c>
      <c r="H258" s="27" t="s">
        <v>106</v>
      </c>
      <c r="I258" s="27">
        <v>2</v>
      </c>
    </row>
    <row r="259" spans="1:9" x14ac:dyDescent="0.25">
      <c r="A259" s="27" t="s">
        <v>474</v>
      </c>
      <c r="B259" s="27" t="s">
        <v>111</v>
      </c>
      <c r="C259" s="27">
        <v>0</v>
      </c>
      <c r="D259" s="28">
        <v>43266</v>
      </c>
      <c r="E259" s="27">
        <v>158.85</v>
      </c>
      <c r="F259" s="27" t="s">
        <v>1308</v>
      </c>
      <c r="G259" s="27" t="s">
        <v>1309</v>
      </c>
      <c r="H259" s="27" t="s">
        <v>106</v>
      </c>
      <c r="I259" s="27">
        <v>4</v>
      </c>
    </row>
    <row r="260" spans="1:9" x14ac:dyDescent="0.25">
      <c r="A260" s="27" t="s">
        <v>474</v>
      </c>
      <c r="B260" s="27" t="s">
        <v>111</v>
      </c>
      <c r="C260" s="27">
        <v>0</v>
      </c>
      <c r="D260" s="28">
        <v>43272</v>
      </c>
      <c r="E260" s="27">
        <v>873.71</v>
      </c>
      <c r="F260" s="27" t="s">
        <v>1310</v>
      </c>
      <c r="G260" s="27" t="s">
        <v>1311</v>
      </c>
      <c r="H260" s="27" t="s">
        <v>106</v>
      </c>
      <c r="I260" s="27">
        <v>1</v>
      </c>
    </row>
    <row r="261" spans="1:9" x14ac:dyDescent="0.25">
      <c r="A261" s="27" t="s">
        <v>474</v>
      </c>
      <c r="B261" s="27" t="s">
        <v>111</v>
      </c>
      <c r="C261" s="27">
        <v>0</v>
      </c>
      <c r="D261" s="28">
        <v>43272</v>
      </c>
      <c r="E261" s="27">
        <v>1191.43</v>
      </c>
      <c r="F261" s="27" t="s">
        <v>1312</v>
      </c>
      <c r="G261" s="27" t="s">
        <v>1313</v>
      </c>
      <c r="H261" s="27" t="s">
        <v>106</v>
      </c>
      <c r="I261" s="27">
        <v>2</v>
      </c>
    </row>
    <row r="262" spans="1:9" x14ac:dyDescent="0.25">
      <c r="A262" s="27" t="s">
        <v>474</v>
      </c>
      <c r="B262" s="27" t="s">
        <v>111</v>
      </c>
      <c r="C262" s="27">
        <v>0</v>
      </c>
      <c r="D262" s="28">
        <v>43272</v>
      </c>
      <c r="E262" s="27">
        <v>-873.71</v>
      </c>
      <c r="F262" s="27" t="s">
        <v>1314</v>
      </c>
      <c r="G262" s="27" t="s">
        <v>1315</v>
      </c>
      <c r="H262" s="27" t="s">
        <v>106</v>
      </c>
      <c r="I262" s="27">
        <v>3</v>
      </c>
    </row>
    <row r="263" spans="1:9" x14ac:dyDescent="0.25">
      <c r="A263" s="27" t="s">
        <v>474</v>
      </c>
      <c r="B263" s="27" t="s">
        <v>111</v>
      </c>
      <c r="C263" s="27">
        <v>0</v>
      </c>
      <c r="D263" s="28">
        <v>43272</v>
      </c>
      <c r="E263" s="27">
        <v>-79.430000000000007</v>
      </c>
      <c r="F263" s="27" t="s">
        <v>1316</v>
      </c>
      <c r="G263" s="27" t="s">
        <v>1317</v>
      </c>
      <c r="H263" s="27" t="s">
        <v>106</v>
      </c>
      <c r="I263" s="27">
        <v>4</v>
      </c>
    </row>
    <row r="264" spans="1:9" x14ac:dyDescent="0.25">
      <c r="A264" s="27" t="s">
        <v>474</v>
      </c>
      <c r="B264" s="27" t="s">
        <v>111</v>
      </c>
      <c r="C264" s="27">
        <v>0</v>
      </c>
      <c r="D264" s="28">
        <v>43272</v>
      </c>
      <c r="E264" s="27">
        <v>158.85</v>
      </c>
      <c r="F264" s="27" t="s">
        <v>1318</v>
      </c>
      <c r="G264" s="27" t="s">
        <v>1319</v>
      </c>
      <c r="H264" s="27" t="s">
        <v>106</v>
      </c>
      <c r="I264" s="27">
        <v>5</v>
      </c>
    </row>
    <row r="265" spans="1:9" x14ac:dyDescent="0.25">
      <c r="A265" s="27" t="s">
        <v>474</v>
      </c>
      <c r="B265" s="27" t="s">
        <v>111</v>
      </c>
      <c r="C265" s="27">
        <v>0</v>
      </c>
      <c r="D265" s="28">
        <v>43272</v>
      </c>
      <c r="E265" s="27">
        <v>9849.09</v>
      </c>
      <c r="F265" s="27" t="s">
        <v>1320</v>
      </c>
      <c r="G265" s="27" t="s">
        <v>1321</v>
      </c>
      <c r="H265" s="27" t="s">
        <v>106</v>
      </c>
      <c r="I265" s="27">
        <v>6</v>
      </c>
    </row>
    <row r="266" spans="1:9" x14ac:dyDescent="0.25">
      <c r="A266" s="27" t="s">
        <v>474</v>
      </c>
      <c r="B266" s="27" t="s">
        <v>111</v>
      </c>
      <c r="C266" s="27">
        <v>0</v>
      </c>
      <c r="D266" s="28">
        <v>43273</v>
      </c>
      <c r="E266" s="27">
        <v>-11278.79</v>
      </c>
      <c r="F266" s="27" t="s">
        <v>1322</v>
      </c>
      <c r="G266" s="27" t="s">
        <v>1323</v>
      </c>
      <c r="H266" s="27" t="s">
        <v>106</v>
      </c>
      <c r="I266" s="27">
        <v>1</v>
      </c>
    </row>
    <row r="267" spans="1:9" x14ac:dyDescent="0.25">
      <c r="A267" s="27" t="s">
        <v>474</v>
      </c>
      <c r="B267" s="27" t="s">
        <v>111</v>
      </c>
      <c r="C267" s="27">
        <v>0</v>
      </c>
      <c r="D267" s="28">
        <v>43273</v>
      </c>
      <c r="E267" s="27">
        <v>158.85</v>
      </c>
      <c r="F267" s="27" t="s">
        <v>1324</v>
      </c>
      <c r="G267" s="27" t="s">
        <v>1325</v>
      </c>
      <c r="H267" s="27" t="s">
        <v>106</v>
      </c>
      <c r="I267" s="27">
        <v>2</v>
      </c>
    </row>
    <row r="268" spans="1:9" x14ac:dyDescent="0.25">
      <c r="A268" s="27" t="s">
        <v>474</v>
      </c>
      <c r="B268" s="27" t="s">
        <v>111</v>
      </c>
      <c r="C268" s="27">
        <v>0</v>
      </c>
      <c r="D268" s="28">
        <v>43273</v>
      </c>
      <c r="E268" s="27">
        <v>10802.23</v>
      </c>
      <c r="F268" s="27" t="s">
        <v>1326</v>
      </c>
      <c r="G268" s="27" t="s">
        <v>1327</v>
      </c>
      <c r="H268" s="27" t="s">
        <v>106</v>
      </c>
      <c r="I268" s="27">
        <v>3</v>
      </c>
    </row>
    <row r="269" spans="1:9" x14ac:dyDescent="0.25">
      <c r="A269" s="27" t="s">
        <v>474</v>
      </c>
      <c r="B269" s="27" t="s">
        <v>111</v>
      </c>
      <c r="C269" s="27">
        <v>0</v>
      </c>
      <c r="D269" s="28">
        <v>43273</v>
      </c>
      <c r="E269" s="27">
        <v>-1429.71</v>
      </c>
      <c r="F269" s="27" t="s">
        <v>1328</v>
      </c>
      <c r="G269" s="27" t="s">
        <v>1329</v>
      </c>
      <c r="H269" s="27" t="s">
        <v>106</v>
      </c>
      <c r="I269" s="27">
        <v>4</v>
      </c>
    </row>
    <row r="270" spans="1:9" x14ac:dyDescent="0.25">
      <c r="A270" s="27" t="s">
        <v>474</v>
      </c>
      <c r="B270" s="27" t="s">
        <v>111</v>
      </c>
      <c r="C270" s="27">
        <v>0</v>
      </c>
      <c r="D270" s="28">
        <v>43273</v>
      </c>
      <c r="E270" s="27">
        <v>1509.14</v>
      </c>
      <c r="F270" s="27" t="s">
        <v>1330</v>
      </c>
      <c r="G270" s="27" t="s">
        <v>1331</v>
      </c>
      <c r="H270" s="27" t="s">
        <v>106</v>
      </c>
      <c r="I270" s="27">
        <v>5</v>
      </c>
    </row>
    <row r="271" spans="1:9" x14ac:dyDescent="0.25">
      <c r="A271" s="27" t="s">
        <v>474</v>
      </c>
      <c r="B271" s="27" t="s">
        <v>111</v>
      </c>
      <c r="C271" s="27">
        <v>0</v>
      </c>
      <c r="D271" s="28">
        <v>43276</v>
      </c>
      <c r="E271" s="27">
        <v>-10087.370000000001</v>
      </c>
      <c r="F271" s="27" t="s">
        <v>1332</v>
      </c>
      <c r="G271" s="27" t="s">
        <v>1333</v>
      </c>
      <c r="H271" s="27" t="s">
        <v>106</v>
      </c>
      <c r="I271" s="27">
        <v>1</v>
      </c>
    </row>
    <row r="272" spans="1:9" x14ac:dyDescent="0.25">
      <c r="A272" s="27" t="s">
        <v>474</v>
      </c>
      <c r="B272" s="27" t="s">
        <v>111</v>
      </c>
      <c r="C272" s="27">
        <v>0</v>
      </c>
      <c r="D272" s="28">
        <v>43276</v>
      </c>
      <c r="E272" s="27">
        <v>714.85</v>
      </c>
      <c r="F272" s="27" t="s">
        <v>1334</v>
      </c>
      <c r="G272" s="27" t="s">
        <v>1335</v>
      </c>
      <c r="H272" s="27" t="s">
        <v>106</v>
      </c>
      <c r="I272" s="27">
        <v>2</v>
      </c>
    </row>
    <row r="273" spans="1:9" x14ac:dyDescent="0.25">
      <c r="A273" s="27" t="s">
        <v>474</v>
      </c>
      <c r="B273" s="27" t="s">
        <v>111</v>
      </c>
      <c r="C273" s="27">
        <v>0</v>
      </c>
      <c r="D273" s="28">
        <v>43276</v>
      </c>
      <c r="E273" s="27">
        <v>79.430000000000007</v>
      </c>
      <c r="F273" s="27" t="s">
        <v>1336</v>
      </c>
      <c r="G273" s="27" t="s">
        <v>1337</v>
      </c>
      <c r="H273" s="27" t="s">
        <v>106</v>
      </c>
      <c r="I273" s="27">
        <v>3</v>
      </c>
    </row>
    <row r="274" spans="1:9" x14ac:dyDescent="0.25">
      <c r="A274" s="27" t="s">
        <v>474</v>
      </c>
      <c r="B274" s="27" t="s">
        <v>111</v>
      </c>
      <c r="C274" s="27">
        <v>0</v>
      </c>
      <c r="D274" s="28">
        <v>43276</v>
      </c>
      <c r="E274" s="27">
        <v>79.42</v>
      </c>
      <c r="F274" s="27" t="s">
        <v>1338</v>
      </c>
      <c r="G274" s="27" t="s">
        <v>1339</v>
      </c>
      <c r="H274" s="27" t="s">
        <v>106</v>
      </c>
      <c r="I274" s="27">
        <v>5</v>
      </c>
    </row>
    <row r="275" spans="1:9" x14ac:dyDescent="0.25">
      <c r="A275" s="27" t="s">
        <v>474</v>
      </c>
      <c r="B275" s="27" t="s">
        <v>111</v>
      </c>
      <c r="C275" s="27">
        <v>0</v>
      </c>
      <c r="D275" s="28">
        <v>43277</v>
      </c>
      <c r="E275" s="27">
        <v>5718.83</v>
      </c>
      <c r="F275" s="27" t="s">
        <v>1340</v>
      </c>
      <c r="G275" s="27" t="s">
        <v>1341</v>
      </c>
      <c r="H275" s="27" t="s">
        <v>106</v>
      </c>
      <c r="I275" s="27">
        <v>1</v>
      </c>
    </row>
    <row r="276" spans="1:9" x14ac:dyDescent="0.25">
      <c r="A276" s="27" t="s">
        <v>474</v>
      </c>
      <c r="B276" s="27" t="s">
        <v>111</v>
      </c>
      <c r="C276" s="27">
        <v>0</v>
      </c>
      <c r="D276" s="28">
        <v>43280</v>
      </c>
      <c r="E276" s="27">
        <v>-7466.24</v>
      </c>
      <c r="F276" s="27" t="s">
        <v>1342</v>
      </c>
      <c r="G276" s="27" t="s">
        <v>1343</v>
      </c>
      <c r="H276" s="27" t="s">
        <v>106</v>
      </c>
      <c r="I276" s="27">
        <v>5</v>
      </c>
    </row>
    <row r="277" spans="1:9" x14ac:dyDescent="0.25">
      <c r="A277" s="27" t="s">
        <v>474</v>
      </c>
      <c r="B277" s="27" t="s">
        <v>111</v>
      </c>
      <c r="C277" s="27">
        <v>0</v>
      </c>
      <c r="D277" s="28">
        <v>43283</v>
      </c>
      <c r="E277" s="27">
        <v>-79.430000000000007</v>
      </c>
      <c r="F277" s="27" t="s">
        <v>1344</v>
      </c>
      <c r="G277" s="27" t="s">
        <v>1345</v>
      </c>
      <c r="H277" s="27" t="s">
        <v>106</v>
      </c>
      <c r="I277" s="27">
        <v>3</v>
      </c>
    </row>
    <row r="278" spans="1:9" x14ac:dyDescent="0.25">
      <c r="A278" s="27" t="s">
        <v>474</v>
      </c>
      <c r="B278" s="27" t="s">
        <v>111</v>
      </c>
      <c r="C278" s="27">
        <v>0</v>
      </c>
      <c r="D278" s="28">
        <v>43284</v>
      </c>
      <c r="E278" s="27">
        <v>79.430000000000007</v>
      </c>
      <c r="F278" s="27" t="s">
        <v>1346</v>
      </c>
      <c r="G278" s="27" t="s">
        <v>1347</v>
      </c>
      <c r="H278" s="27" t="s">
        <v>106</v>
      </c>
      <c r="I278" s="27">
        <v>1</v>
      </c>
    </row>
    <row r="279" spans="1:9" x14ac:dyDescent="0.25">
      <c r="A279" s="27" t="s">
        <v>474</v>
      </c>
      <c r="B279" s="27" t="s">
        <v>111</v>
      </c>
      <c r="C279" s="27">
        <v>0</v>
      </c>
      <c r="D279" s="28">
        <v>43284</v>
      </c>
      <c r="E279" s="27">
        <v>5877.68</v>
      </c>
      <c r="F279" s="27" t="s">
        <v>1348</v>
      </c>
      <c r="G279" s="27" t="s">
        <v>1349</v>
      </c>
      <c r="H279" s="27" t="s">
        <v>106</v>
      </c>
      <c r="I279" s="27">
        <v>2</v>
      </c>
    </row>
    <row r="280" spans="1:9" x14ac:dyDescent="0.25">
      <c r="A280" s="27" t="s">
        <v>474</v>
      </c>
      <c r="B280" s="27" t="s">
        <v>111</v>
      </c>
      <c r="C280" s="27">
        <v>0</v>
      </c>
      <c r="D280" s="28">
        <v>43284</v>
      </c>
      <c r="E280" s="27">
        <v>476.57</v>
      </c>
      <c r="F280" s="27" t="s">
        <v>1350</v>
      </c>
      <c r="G280" s="27" t="s">
        <v>1351</v>
      </c>
      <c r="H280" s="27" t="s">
        <v>106</v>
      </c>
      <c r="I280" s="27">
        <v>3</v>
      </c>
    </row>
    <row r="281" spans="1:9" x14ac:dyDescent="0.25">
      <c r="A281" s="27" t="s">
        <v>474</v>
      </c>
      <c r="B281" s="27" t="s">
        <v>111</v>
      </c>
      <c r="C281" s="27">
        <v>0</v>
      </c>
      <c r="D281" s="28">
        <v>43284</v>
      </c>
      <c r="E281" s="27">
        <v>238.28</v>
      </c>
      <c r="F281" s="27" t="s">
        <v>1352</v>
      </c>
      <c r="G281" s="27" t="s">
        <v>1353</v>
      </c>
      <c r="H281" s="27" t="s">
        <v>106</v>
      </c>
      <c r="I281" s="27">
        <v>5</v>
      </c>
    </row>
    <row r="282" spans="1:9" x14ac:dyDescent="0.25">
      <c r="A282" s="27" t="s">
        <v>474</v>
      </c>
      <c r="B282" s="27" t="s">
        <v>111</v>
      </c>
      <c r="C282" s="27">
        <v>0</v>
      </c>
      <c r="D282" s="28">
        <v>43286</v>
      </c>
      <c r="E282" s="27">
        <v>-6592.53</v>
      </c>
      <c r="F282" s="27" t="s">
        <v>1354</v>
      </c>
      <c r="G282" s="27" t="s">
        <v>1355</v>
      </c>
      <c r="H282" s="27" t="s">
        <v>106</v>
      </c>
      <c r="I282" s="27">
        <v>2</v>
      </c>
    </row>
    <row r="283" spans="1:9" x14ac:dyDescent="0.25">
      <c r="A283" s="27" t="s">
        <v>474</v>
      </c>
      <c r="B283" s="27" t="s">
        <v>111</v>
      </c>
      <c r="C283" s="27">
        <v>0</v>
      </c>
      <c r="D283" s="28">
        <v>43291</v>
      </c>
      <c r="E283" s="27">
        <v>158.85</v>
      </c>
      <c r="F283" s="27" t="s">
        <v>1356</v>
      </c>
      <c r="G283" s="27" t="s">
        <v>1357</v>
      </c>
      <c r="H283" s="27" t="s">
        <v>106</v>
      </c>
      <c r="I283" s="27">
        <v>1</v>
      </c>
    </row>
    <row r="284" spans="1:9" x14ac:dyDescent="0.25">
      <c r="A284" s="27" t="s">
        <v>474</v>
      </c>
      <c r="B284" s="27" t="s">
        <v>111</v>
      </c>
      <c r="C284" s="27">
        <v>0</v>
      </c>
      <c r="D284" s="28">
        <v>43291</v>
      </c>
      <c r="E284" s="27">
        <v>1191.42</v>
      </c>
      <c r="F284" s="27" t="s">
        <v>1358</v>
      </c>
      <c r="G284" s="27" t="s">
        <v>1359</v>
      </c>
      <c r="H284" s="27" t="s">
        <v>106</v>
      </c>
      <c r="I284" s="27">
        <v>2</v>
      </c>
    </row>
    <row r="285" spans="1:9" x14ac:dyDescent="0.25">
      <c r="A285" s="27" t="s">
        <v>474</v>
      </c>
      <c r="B285" s="27" t="s">
        <v>111</v>
      </c>
      <c r="C285" s="27">
        <v>0</v>
      </c>
      <c r="D285" s="28">
        <v>43291</v>
      </c>
      <c r="E285" s="27">
        <v>1747.42</v>
      </c>
      <c r="F285" s="27" t="s">
        <v>1360</v>
      </c>
      <c r="G285" s="27" t="s">
        <v>1361</v>
      </c>
      <c r="H285" s="27" t="s">
        <v>106</v>
      </c>
      <c r="I285" s="27">
        <v>3</v>
      </c>
    </row>
    <row r="286" spans="1:9" x14ac:dyDescent="0.25">
      <c r="A286" s="27" t="s">
        <v>474</v>
      </c>
      <c r="B286" s="27" t="s">
        <v>111</v>
      </c>
      <c r="C286" s="27">
        <v>0</v>
      </c>
      <c r="D286" s="28">
        <v>43292</v>
      </c>
      <c r="E286" s="27">
        <v>-3097.69</v>
      </c>
      <c r="F286" s="27" t="s">
        <v>1362</v>
      </c>
      <c r="G286" s="27" t="s">
        <v>1363</v>
      </c>
      <c r="H286" s="27" t="s">
        <v>106</v>
      </c>
      <c r="I286" s="27">
        <v>2</v>
      </c>
    </row>
    <row r="287" spans="1:9" x14ac:dyDescent="0.25">
      <c r="A287" s="27" t="s">
        <v>474</v>
      </c>
      <c r="B287" s="27" t="s">
        <v>111</v>
      </c>
      <c r="C287" s="27">
        <v>0</v>
      </c>
      <c r="D287" s="28">
        <v>43292</v>
      </c>
      <c r="E287" s="27">
        <v>158.85</v>
      </c>
      <c r="F287" s="27" t="s">
        <v>1364</v>
      </c>
      <c r="G287" s="27" t="s">
        <v>1365</v>
      </c>
      <c r="H287" s="27" t="s">
        <v>106</v>
      </c>
      <c r="I287" s="27">
        <v>7</v>
      </c>
    </row>
    <row r="288" spans="1:9" x14ac:dyDescent="0.25">
      <c r="A288" s="27" t="s">
        <v>474</v>
      </c>
      <c r="B288" s="27" t="s">
        <v>111</v>
      </c>
      <c r="C288" s="27">
        <v>0</v>
      </c>
      <c r="D288" s="28">
        <v>43294</v>
      </c>
      <c r="E288" s="27">
        <v>-158.85</v>
      </c>
      <c r="F288" s="27" t="s">
        <v>1366</v>
      </c>
      <c r="G288" s="27" t="s">
        <v>1367</v>
      </c>
      <c r="H288" s="27" t="s">
        <v>106</v>
      </c>
      <c r="I288" s="27">
        <v>3</v>
      </c>
    </row>
    <row r="289" spans="1:9" x14ac:dyDescent="0.25">
      <c r="A289" s="27" t="s">
        <v>474</v>
      </c>
      <c r="B289" s="27" t="s">
        <v>111</v>
      </c>
      <c r="C289" s="27">
        <v>0</v>
      </c>
      <c r="D289" s="28">
        <v>43297</v>
      </c>
      <c r="E289" s="27">
        <v>397.14</v>
      </c>
      <c r="F289" s="27" t="s">
        <v>1368</v>
      </c>
      <c r="G289" s="27" t="s">
        <v>1369</v>
      </c>
      <c r="H289" s="27" t="s">
        <v>106</v>
      </c>
      <c r="I289" s="27">
        <v>2</v>
      </c>
    </row>
    <row r="290" spans="1:9" x14ac:dyDescent="0.25">
      <c r="A290" s="27" t="s">
        <v>474</v>
      </c>
      <c r="B290" s="27" t="s">
        <v>111</v>
      </c>
      <c r="C290" s="27">
        <v>0</v>
      </c>
      <c r="D290" s="28">
        <v>43297</v>
      </c>
      <c r="E290" s="27">
        <v>714.85</v>
      </c>
      <c r="F290" s="27" t="s">
        <v>1370</v>
      </c>
      <c r="G290" s="27" t="s">
        <v>1371</v>
      </c>
      <c r="H290" s="27" t="s">
        <v>106</v>
      </c>
      <c r="I290" s="27">
        <v>6</v>
      </c>
    </row>
    <row r="291" spans="1:9" x14ac:dyDescent="0.25">
      <c r="A291" s="27" t="s">
        <v>474</v>
      </c>
      <c r="B291" s="27" t="s">
        <v>111</v>
      </c>
      <c r="C291" s="27">
        <v>0</v>
      </c>
      <c r="D291" s="28">
        <v>43300</v>
      </c>
      <c r="E291" s="27">
        <v>2303.42</v>
      </c>
      <c r="F291" s="27" t="s">
        <v>1372</v>
      </c>
      <c r="G291" s="27" t="s">
        <v>1373</v>
      </c>
      <c r="H291" s="27" t="s">
        <v>106</v>
      </c>
      <c r="I291" s="27">
        <v>1</v>
      </c>
    </row>
    <row r="292" spans="1:9" x14ac:dyDescent="0.25">
      <c r="A292" s="27" t="s">
        <v>474</v>
      </c>
      <c r="B292" s="27" t="s">
        <v>111</v>
      </c>
      <c r="C292" s="27">
        <v>0</v>
      </c>
      <c r="D292" s="28">
        <v>43300</v>
      </c>
      <c r="E292" s="27">
        <v>-3018.27</v>
      </c>
      <c r="F292" s="27" t="s">
        <v>1374</v>
      </c>
      <c r="G292" s="27" t="s">
        <v>1375</v>
      </c>
      <c r="H292" s="27" t="s">
        <v>106</v>
      </c>
      <c r="I292" s="27">
        <v>2</v>
      </c>
    </row>
    <row r="293" spans="1:9" x14ac:dyDescent="0.25">
      <c r="A293" s="27" t="s">
        <v>474</v>
      </c>
      <c r="B293" s="27" t="s">
        <v>111</v>
      </c>
      <c r="C293" s="27">
        <v>0</v>
      </c>
      <c r="D293" s="28">
        <v>43301</v>
      </c>
      <c r="E293" s="27">
        <v>79.42</v>
      </c>
      <c r="F293" s="27" t="s">
        <v>1376</v>
      </c>
      <c r="G293" s="27" t="s">
        <v>1377</v>
      </c>
      <c r="H293" s="27" t="s">
        <v>106</v>
      </c>
      <c r="I293" s="27">
        <v>4</v>
      </c>
    </row>
    <row r="294" spans="1:9" x14ac:dyDescent="0.25">
      <c r="A294" s="27" t="s">
        <v>474</v>
      </c>
      <c r="B294" s="27" t="s">
        <v>111</v>
      </c>
      <c r="C294" s="27">
        <v>0</v>
      </c>
      <c r="D294" s="28">
        <v>43304</v>
      </c>
      <c r="E294" s="27">
        <v>476.57</v>
      </c>
      <c r="F294" s="27" t="s">
        <v>1378</v>
      </c>
      <c r="G294" s="27" t="s">
        <v>1379</v>
      </c>
      <c r="H294" s="27" t="s">
        <v>106</v>
      </c>
      <c r="I294" s="27">
        <v>2</v>
      </c>
    </row>
    <row r="295" spans="1:9" x14ac:dyDescent="0.25">
      <c r="A295" s="27" t="s">
        <v>474</v>
      </c>
      <c r="B295" s="27" t="s">
        <v>111</v>
      </c>
      <c r="C295" s="27">
        <v>0</v>
      </c>
      <c r="D295" s="28">
        <v>43304</v>
      </c>
      <c r="E295" s="27">
        <v>1112</v>
      </c>
      <c r="F295" s="27" t="s">
        <v>1380</v>
      </c>
      <c r="G295" s="27" t="s">
        <v>1381</v>
      </c>
      <c r="H295" s="27" t="s">
        <v>106</v>
      </c>
      <c r="I295" s="27">
        <v>3</v>
      </c>
    </row>
    <row r="296" spans="1:9" x14ac:dyDescent="0.25">
      <c r="A296" s="27" t="s">
        <v>474</v>
      </c>
      <c r="B296" s="27" t="s">
        <v>111</v>
      </c>
      <c r="C296" s="27">
        <v>0</v>
      </c>
      <c r="D296" s="28">
        <v>43305</v>
      </c>
      <c r="E296" s="27">
        <v>-1985.71</v>
      </c>
      <c r="F296" s="27" t="s">
        <v>1382</v>
      </c>
      <c r="G296" s="27" t="s">
        <v>1383</v>
      </c>
      <c r="H296" s="27" t="s">
        <v>106</v>
      </c>
      <c r="I296" s="27">
        <v>1</v>
      </c>
    </row>
    <row r="297" spans="1:9" x14ac:dyDescent="0.25">
      <c r="A297" s="27" t="s">
        <v>474</v>
      </c>
      <c r="B297" s="27" t="s">
        <v>111</v>
      </c>
      <c r="C297" s="27">
        <v>0</v>
      </c>
      <c r="D297" s="28">
        <v>43305</v>
      </c>
      <c r="E297" s="27">
        <v>79.430000000000007</v>
      </c>
      <c r="F297" s="27" t="s">
        <v>1384</v>
      </c>
      <c r="G297" s="27" t="s">
        <v>1385</v>
      </c>
      <c r="H297" s="27" t="s">
        <v>106</v>
      </c>
      <c r="I297" s="27">
        <v>2</v>
      </c>
    </row>
    <row r="298" spans="1:9" x14ac:dyDescent="0.25">
      <c r="A298" s="27" t="s">
        <v>474</v>
      </c>
      <c r="B298" s="27" t="s">
        <v>111</v>
      </c>
      <c r="C298" s="27">
        <v>0</v>
      </c>
      <c r="D298" s="28">
        <v>43313</v>
      </c>
      <c r="E298" s="27">
        <v>-158.85</v>
      </c>
      <c r="F298" s="27" t="s">
        <v>1386</v>
      </c>
      <c r="G298" s="27" t="s">
        <v>1387</v>
      </c>
      <c r="H298" s="27" t="s">
        <v>106</v>
      </c>
      <c r="I298" s="27">
        <v>2</v>
      </c>
    </row>
    <row r="299" spans="1:9" x14ac:dyDescent="0.25">
      <c r="A299" s="27" t="s">
        <v>474</v>
      </c>
      <c r="B299" s="27" t="s">
        <v>111</v>
      </c>
      <c r="C299" s="27">
        <v>0</v>
      </c>
      <c r="D299" s="28">
        <v>43313</v>
      </c>
      <c r="E299" s="27">
        <v>794.28</v>
      </c>
      <c r="F299" s="27" t="s">
        <v>1388</v>
      </c>
      <c r="G299" s="27" t="s">
        <v>1389</v>
      </c>
      <c r="H299" s="27" t="s">
        <v>106</v>
      </c>
      <c r="I299" s="27">
        <v>3</v>
      </c>
    </row>
    <row r="300" spans="1:9" x14ac:dyDescent="0.25">
      <c r="A300" s="27" t="s">
        <v>474</v>
      </c>
      <c r="B300" s="27" t="s">
        <v>111</v>
      </c>
      <c r="C300" s="27">
        <v>0</v>
      </c>
      <c r="D300" s="28">
        <v>43313</v>
      </c>
      <c r="E300" s="27">
        <v>79.430000000000007</v>
      </c>
      <c r="F300" s="27" t="s">
        <v>1390</v>
      </c>
      <c r="G300" s="27" t="s">
        <v>1391</v>
      </c>
      <c r="H300" s="27" t="s">
        <v>106</v>
      </c>
      <c r="I300" s="27">
        <v>5</v>
      </c>
    </row>
    <row r="301" spans="1:9" x14ac:dyDescent="0.25">
      <c r="A301" s="27" t="s">
        <v>474</v>
      </c>
      <c r="B301" s="27" t="s">
        <v>111</v>
      </c>
      <c r="C301" s="27">
        <v>0</v>
      </c>
      <c r="D301" s="28">
        <v>43314</v>
      </c>
      <c r="E301" s="27">
        <v>1509.13</v>
      </c>
      <c r="F301" s="27" t="s">
        <v>1392</v>
      </c>
      <c r="G301" s="27" t="s">
        <v>1393</v>
      </c>
      <c r="H301" s="27" t="s">
        <v>106</v>
      </c>
      <c r="I301" s="27">
        <v>2</v>
      </c>
    </row>
    <row r="302" spans="1:9" x14ac:dyDescent="0.25">
      <c r="A302" s="27" t="s">
        <v>474</v>
      </c>
      <c r="B302" s="27" t="s">
        <v>111</v>
      </c>
      <c r="C302" s="27">
        <v>0</v>
      </c>
      <c r="D302" s="28">
        <v>43314</v>
      </c>
      <c r="E302" s="27">
        <v>158.86000000000001</v>
      </c>
      <c r="F302" s="27" t="s">
        <v>1394</v>
      </c>
      <c r="G302" s="27" t="s">
        <v>1395</v>
      </c>
      <c r="H302" s="27" t="s">
        <v>106</v>
      </c>
      <c r="I302" s="27">
        <v>4</v>
      </c>
    </row>
    <row r="303" spans="1:9" x14ac:dyDescent="0.25">
      <c r="A303" s="27" t="s">
        <v>474</v>
      </c>
      <c r="B303" s="27" t="s">
        <v>111</v>
      </c>
      <c r="C303" s="27">
        <v>0</v>
      </c>
      <c r="D303" s="28">
        <v>43315</v>
      </c>
      <c r="E303" s="27">
        <v>317.70999999999998</v>
      </c>
      <c r="F303" s="27" t="s">
        <v>1396</v>
      </c>
      <c r="G303" s="27" t="s">
        <v>1397</v>
      </c>
      <c r="H303" s="27" t="s">
        <v>106</v>
      </c>
      <c r="I303" s="27">
        <v>1</v>
      </c>
    </row>
    <row r="304" spans="1:9" x14ac:dyDescent="0.25">
      <c r="A304" s="27" t="s">
        <v>474</v>
      </c>
      <c r="B304" s="27" t="s">
        <v>111</v>
      </c>
      <c r="C304" s="27">
        <v>0</v>
      </c>
      <c r="D304" s="28">
        <v>43315</v>
      </c>
      <c r="E304" s="27">
        <v>-2859.41</v>
      </c>
      <c r="F304" s="27" t="s">
        <v>1398</v>
      </c>
      <c r="G304" s="27" t="s">
        <v>1399</v>
      </c>
      <c r="H304" s="27" t="s">
        <v>106</v>
      </c>
      <c r="I304" s="27">
        <v>2</v>
      </c>
    </row>
    <row r="305" spans="1:9" x14ac:dyDescent="0.25">
      <c r="A305" s="27" t="s">
        <v>474</v>
      </c>
      <c r="B305" s="27" t="s">
        <v>111</v>
      </c>
      <c r="C305" s="27">
        <v>0</v>
      </c>
      <c r="D305" s="28">
        <v>43315</v>
      </c>
      <c r="E305" s="27">
        <v>714.85</v>
      </c>
      <c r="F305" s="27" t="s">
        <v>1400</v>
      </c>
      <c r="G305" s="27" t="s">
        <v>1401</v>
      </c>
      <c r="H305" s="27" t="s">
        <v>106</v>
      </c>
      <c r="I305" s="27">
        <v>4</v>
      </c>
    </row>
    <row r="306" spans="1:9" x14ac:dyDescent="0.25">
      <c r="A306" s="27" t="s">
        <v>474</v>
      </c>
      <c r="B306" s="27" t="s">
        <v>111</v>
      </c>
      <c r="C306" s="27">
        <v>0</v>
      </c>
      <c r="D306" s="28">
        <v>43315</v>
      </c>
      <c r="E306" s="27">
        <v>1429.71</v>
      </c>
      <c r="F306" s="27" t="s">
        <v>1402</v>
      </c>
      <c r="G306" s="27" t="s">
        <v>1403</v>
      </c>
      <c r="H306" s="27" t="s">
        <v>106</v>
      </c>
      <c r="I306" s="27">
        <v>5</v>
      </c>
    </row>
    <row r="307" spans="1:9" x14ac:dyDescent="0.25">
      <c r="A307" s="27" t="s">
        <v>474</v>
      </c>
      <c r="B307" s="27" t="s">
        <v>111</v>
      </c>
      <c r="C307" s="27">
        <v>0</v>
      </c>
      <c r="D307" s="28">
        <v>43320</v>
      </c>
      <c r="E307" s="27">
        <v>-1588.57</v>
      </c>
      <c r="F307" s="27" t="s">
        <v>1404</v>
      </c>
      <c r="G307" s="27" t="s">
        <v>1405</v>
      </c>
      <c r="H307" s="27" t="s">
        <v>106</v>
      </c>
      <c r="I307" s="27">
        <v>2</v>
      </c>
    </row>
    <row r="308" spans="1:9" x14ac:dyDescent="0.25">
      <c r="A308" s="27" t="s">
        <v>474</v>
      </c>
      <c r="B308" s="27" t="s">
        <v>111</v>
      </c>
      <c r="C308" s="27">
        <v>0</v>
      </c>
      <c r="D308" s="28">
        <v>43320</v>
      </c>
      <c r="E308" s="27">
        <v>79.430000000000007</v>
      </c>
      <c r="F308" s="27" t="s">
        <v>1406</v>
      </c>
      <c r="G308" s="27" t="s">
        <v>1407</v>
      </c>
      <c r="H308" s="27" t="s">
        <v>106</v>
      </c>
      <c r="I308" s="27">
        <v>3</v>
      </c>
    </row>
    <row r="309" spans="1:9" x14ac:dyDescent="0.25">
      <c r="A309" s="27" t="s">
        <v>474</v>
      </c>
      <c r="B309" s="27" t="s">
        <v>111</v>
      </c>
      <c r="C309" s="27">
        <v>0</v>
      </c>
      <c r="D309" s="28">
        <v>43320</v>
      </c>
      <c r="E309" s="27">
        <v>317.70999999999998</v>
      </c>
      <c r="F309" s="27" t="s">
        <v>1408</v>
      </c>
      <c r="G309" s="27" t="s">
        <v>1409</v>
      </c>
      <c r="H309" s="27" t="s">
        <v>106</v>
      </c>
      <c r="I309" s="27">
        <v>4</v>
      </c>
    </row>
    <row r="310" spans="1:9" x14ac:dyDescent="0.25">
      <c r="A310" s="27" t="s">
        <v>474</v>
      </c>
      <c r="B310" s="27" t="s">
        <v>111</v>
      </c>
      <c r="C310" s="27">
        <v>0</v>
      </c>
      <c r="D310" s="28">
        <v>43320</v>
      </c>
      <c r="E310" s="27">
        <v>79.430000000000007</v>
      </c>
      <c r="F310" s="27" t="s">
        <v>1410</v>
      </c>
      <c r="G310" s="27" t="s">
        <v>1411</v>
      </c>
      <c r="H310" s="27" t="s">
        <v>106</v>
      </c>
      <c r="I310" s="27">
        <v>6</v>
      </c>
    </row>
    <row r="311" spans="1:9" x14ac:dyDescent="0.25">
      <c r="A311" s="27" t="s">
        <v>474</v>
      </c>
      <c r="B311" s="27" t="s">
        <v>111</v>
      </c>
      <c r="C311" s="27">
        <v>0</v>
      </c>
      <c r="D311" s="28">
        <v>43321</v>
      </c>
      <c r="E311" s="27">
        <v>-1032.56</v>
      </c>
      <c r="F311" s="27" t="s">
        <v>1412</v>
      </c>
      <c r="G311" s="27" t="s">
        <v>1413</v>
      </c>
      <c r="H311" s="27" t="s">
        <v>106</v>
      </c>
      <c r="I311" s="27">
        <v>1</v>
      </c>
    </row>
    <row r="312" spans="1:9" x14ac:dyDescent="0.25">
      <c r="A312" s="27" t="s">
        <v>474</v>
      </c>
      <c r="B312" s="27" t="s">
        <v>111</v>
      </c>
      <c r="C312" s="27">
        <v>0</v>
      </c>
      <c r="D312" s="28">
        <v>43321</v>
      </c>
      <c r="E312" s="27">
        <v>2462.27</v>
      </c>
      <c r="F312" s="27" t="s">
        <v>1414</v>
      </c>
      <c r="G312" s="27" t="s">
        <v>1415</v>
      </c>
      <c r="H312" s="27" t="s">
        <v>106</v>
      </c>
      <c r="I312" s="27">
        <v>4</v>
      </c>
    </row>
    <row r="313" spans="1:9" x14ac:dyDescent="0.25">
      <c r="A313" s="27" t="s">
        <v>474</v>
      </c>
      <c r="B313" s="27" t="s">
        <v>111</v>
      </c>
      <c r="C313" s="27">
        <v>0</v>
      </c>
      <c r="D313" s="28">
        <v>43321</v>
      </c>
      <c r="E313" s="27">
        <v>158.85</v>
      </c>
      <c r="F313" s="27" t="s">
        <v>1416</v>
      </c>
      <c r="G313" s="27" t="s">
        <v>1417</v>
      </c>
      <c r="H313" s="27" t="s">
        <v>106</v>
      </c>
      <c r="I313" s="27">
        <v>5</v>
      </c>
    </row>
    <row r="314" spans="1:9" x14ac:dyDescent="0.25">
      <c r="A314" s="27" t="s">
        <v>474</v>
      </c>
      <c r="B314" s="27" t="s">
        <v>111</v>
      </c>
      <c r="C314" s="27">
        <v>0</v>
      </c>
      <c r="D314" s="28">
        <v>43321</v>
      </c>
      <c r="E314" s="27">
        <v>79.430000000000007</v>
      </c>
      <c r="F314" s="27" t="s">
        <v>1418</v>
      </c>
      <c r="G314" s="27" t="s">
        <v>1419</v>
      </c>
      <c r="H314" s="27" t="s">
        <v>106</v>
      </c>
      <c r="I314" s="27">
        <v>6</v>
      </c>
    </row>
    <row r="315" spans="1:9" x14ac:dyDescent="0.25">
      <c r="A315" s="27" t="s">
        <v>474</v>
      </c>
      <c r="B315" s="27" t="s">
        <v>111</v>
      </c>
      <c r="C315" s="27">
        <v>0</v>
      </c>
      <c r="D315" s="28">
        <v>43326</v>
      </c>
      <c r="E315" s="27">
        <v>-2779.98</v>
      </c>
      <c r="F315" s="27" t="s">
        <v>1420</v>
      </c>
      <c r="G315" s="27" t="s">
        <v>1421</v>
      </c>
      <c r="H315" s="27" t="s">
        <v>106</v>
      </c>
      <c r="I315" s="27">
        <v>2</v>
      </c>
    </row>
    <row r="316" spans="1:9" x14ac:dyDescent="0.25">
      <c r="A316" s="27" t="s">
        <v>474</v>
      </c>
      <c r="B316" s="27" t="s">
        <v>111</v>
      </c>
      <c r="C316" s="27">
        <v>0</v>
      </c>
      <c r="D316" s="28">
        <v>43326</v>
      </c>
      <c r="E316" s="27">
        <v>238.28</v>
      </c>
      <c r="F316" s="27" t="s">
        <v>1422</v>
      </c>
      <c r="G316" s="27" t="s">
        <v>1423</v>
      </c>
      <c r="H316" s="27" t="s">
        <v>106</v>
      </c>
      <c r="I316" s="27">
        <v>6</v>
      </c>
    </row>
    <row r="317" spans="1:9" x14ac:dyDescent="0.25">
      <c r="A317" s="27" t="s">
        <v>474</v>
      </c>
      <c r="B317" s="27" t="s">
        <v>111</v>
      </c>
      <c r="C317" s="27">
        <v>0</v>
      </c>
      <c r="D317" s="28">
        <v>43329</v>
      </c>
      <c r="E317" s="27">
        <v>476.57</v>
      </c>
      <c r="F317" s="27" t="s">
        <v>1424</v>
      </c>
      <c r="G317" s="27" t="s">
        <v>1425</v>
      </c>
      <c r="H317" s="27" t="s">
        <v>106</v>
      </c>
      <c r="I317" s="27">
        <v>2</v>
      </c>
    </row>
    <row r="318" spans="1:9" x14ac:dyDescent="0.25">
      <c r="A318" s="27" t="s">
        <v>474</v>
      </c>
      <c r="B318" s="27" t="s">
        <v>111</v>
      </c>
      <c r="C318" s="27">
        <v>0</v>
      </c>
      <c r="D318" s="28">
        <v>43329</v>
      </c>
      <c r="E318" s="27">
        <v>317.70999999999998</v>
      </c>
      <c r="F318" s="27" t="s">
        <v>1426</v>
      </c>
      <c r="G318" s="27" t="s">
        <v>1427</v>
      </c>
      <c r="H318" s="27" t="s">
        <v>106</v>
      </c>
      <c r="I318" s="27">
        <v>3</v>
      </c>
    </row>
    <row r="319" spans="1:9" x14ac:dyDescent="0.25">
      <c r="A319" s="27" t="s">
        <v>474</v>
      </c>
      <c r="B319" s="27" t="s">
        <v>111</v>
      </c>
      <c r="C319" s="27">
        <v>0</v>
      </c>
      <c r="D319" s="28">
        <v>43329</v>
      </c>
      <c r="E319" s="27">
        <v>158.86000000000001</v>
      </c>
      <c r="F319" s="27" t="s">
        <v>1428</v>
      </c>
      <c r="G319" s="27" t="s">
        <v>1429</v>
      </c>
      <c r="H319" s="27" t="s">
        <v>106</v>
      </c>
      <c r="I319" s="27">
        <v>4</v>
      </c>
    </row>
    <row r="320" spans="1:9" x14ac:dyDescent="0.25">
      <c r="A320" s="27" t="s">
        <v>474</v>
      </c>
      <c r="B320" s="27" t="s">
        <v>111</v>
      </c>
      <c r="C320" s="27">
        <v>0</v>
      </c>
      <c r="D320" s="28">
        <v>43334</v>
      </c>
      <c r="E320" s="27">
        <v>-1191.42</v>
      </c>
      <c r="F320" s="27" t="s">
        <v>1430</v>
      </c>
      <c r="G320" s="27" t="s">
        <v>1431</v>
      </c>
      <c r="H320" s="27" t="s">
        <v>106</v>
      </c>
      <c r="I320" s="27">
        <v>2</v>
      </c>
    </row>
    <row r="321" spans="1:9" x14ac:dyDescent="0.25">
      <c r="A321" s="27" t="s">
        <v>474</v>
      </c>
      <c r="B321" s="27" t="s">
        <v>111</v>
      </c>
      <c r="C321" s="27">
        <v>0</v>
      </c>
      <c r="D321" s="28">
        <v>43334</v>
      </c>
      <c r="E321" s="27">
        <v>79.430000000000007</v>
      </c>
      <c r="F321" s="27" t="s">
        <v>1432</v>
      </c>
      <c r="G321" s="27" t="s">
        <v>1433</v>
      </c>
      <c r="H321" s="27" t="s">
        <v>106</v>
      </c>
      <c r="I321" s="27">
        <v>3</v>
      </c>
    </row>
    <row r="322" spans="1:9" x14ac:dyDescent="0.25">
      <c r="A322" s="27" t="s">
        <v>474</v>
      </c>
      <c r="B322" s="27" t="s">
        <v>111</v>
      </c>
      <c r="C322" s="27">
        <v>0</v>
      </c>
      <c r="D322" s="28">
        <v>43334</v>
      </c>
      <c r="E322" s="27">
        <v>238.28</v>
      </c>
      <c r="F322" s="27" t="s">
        <v>1434</v>
      </c>
      <c r="G322" s="27" t="s">
        <v>1435</v>
      </c>
      <c r="H322" s="27" t="s">
        <v>106</v>
      </c>
      <c r="I322" s="27">
        <v>6</v>
      </c>
    </row>
    <row r="323" spans="1:9" x14ac:dyDescent="0.25">
      <c r="A323" s="27" t="s">
        <v>474</v>
      </c>
      <c r="B323" s="27" t="s">
        <v>111</v>
      </c>
      <c r="C323" s="27">
        <v>0</v>
      </c>
      <c r="D323" s="28">
        <v>43335</v>
      </c>
      <c r="E323" s="27">
        <v>-317.70999999999998</v>
      </c>
      <c r="F323" s="27" t="s">
        <v>1436</v>
      </c>
      <c r="G323" s="27" t="s">
        <v>1437</v>
      </c>
      <c r="H323" s="27" t="s">
        <v>106</v>
      </c>
      <c r="I323" s="27">
        <v>1</v>
      </c>
    </row>
    <row r="324" spans="1:9" x14ac:dyDescent="0.25">
      <c r="A324" s="27" t="s">
        <v>474</v>
      </c>
      <c r="B324" s="27" t="s">
        <v>111</v>
      </c>
      <c r="C324" s="27">
        <v>0</v>
      </c>
      <c r="D324" s="28">
        <v>43335</v>
      </c>
      <c r="E324" s="27">
        <v>238.28</v>
      </c>
      <c r="F324" s="27" t="s">
        <v>1438</v>
      </c>
      <c r="G324" s="27" t="s">
        <v>1439</v>
      </c>
      <c r="H324" s="27" t="s">
        <v>106</v>
      </c>
      <c r="I324" s="27">
        <v>2</v>
      </c>
    </row>
    <row r="325" spans="1:9" x14ac:dyDescent="0.25">
      <c r="A325" s="27" t="s">
        <v>474</v>
      </c>
      <c r="B325" s="27" t="s">
        <v>111</v>
      </c>
      <c r="C325" s="27">
        <v>0</v>
      </c>
      <c r="D325" s="28">
        <v>43335</v>
      </c>
      <c r="E325" s="27">
        <v>79.430000000000007</v>
      </c>
      <c r="F325" s="27" t="s">
        <v>1440</v>
      </c>
      <c r="G325" s="27" t="s">
        <v>1441</v>
      </c>
      <c r="H325" s="27" t="s">
        <v>106</v>
      </c>
      <c r="I325" s="27">
        <v>6</v>
      </c>
    </row>
    <row r="326" spans="1:9" x14ac:dyDescent="0.25">
      <c r="A326" s="27" t="s">
        <v>474</v>
      </c>
      <c r="B326" s="27" t="s">
        <v>111</v>
      </c>
      <c r="C326" s="27">
        <v>0</v>
      </c>
      <c r="D326" s="28">
        <v>43340</v>
      </c>
      <c r="E326" s="27">
        <v>20730.740000000002</v>
      </c>
      <c r="F326" s="27" t="s">
        <v>1442</v>
      </c>
      <c r="G326" s="27" t="s">
        <v>1443</v>
      </c>
      <c r="H326" s="27" t="s">
        <v>106</v>
      </c>
      <c r="I326" s="27">
        <v>3</v>
      </c>
    </row>
    <row r="327" spans="1:9" x14ac:dyDescent="0.25">
      <c r="A327" s="27" t="s">
        <v>474</v>
      </c>
      <c r="B327" s="27" t="s">
        <v>111</v>
      </c>
      <c r="C327" s="27">
        <v>0</v>
      </c>
      <c r="D327" s="28">
        <v>43340</v>
      </c>
      <c r="E327" s="27">
        <v>79.430000000000007</v>
      </c>
      <c r="F327" s="27" t="s">
        <v>1444</v>
      </c>
      <c r="G327" s="27" t="s">
        <v>1445</v>
      </c>
      <c r="H327" s="27" t="s">
        <v>106</v>
      </c>
      <c r="I327" s="27">
        <v>6</v>
      </c>
    </row>
    <row r="328" spans="1:9" x14ac:dyDescent="0.25">
      <c r="A328" s="27" t="s">
        <v>474</v>
      </c>
      <c r="B328" s="27" t="s">
        <v>111</v>
      </c>
      <c r="C328" s="27">
        <v>0</v>
      </c>
      <c r="D328" s="28">
        <v>43341</v>
      </c>
      <c r="E328" s="27">
        <v>-20969.03</v>
      </c>
      <c r="F328" s="27" t="s">
        <v>1446</v>
      </c>
      <c r="G328" s="27" t="s">
        <v>1447</v>
      </c>
      <c r="H328" s="27" t="s">
        <v>106</v>
      </c>
      <c r="I328" s="27">
        <v>2</v>
      </c>
    </row>
    <row r="329" spans="1:9" x14ac:dyDescent="0.25">
      <c r="A329" s="27" t="s">
        <v>474</v>
      </c>
      <c r="B329" s="27" t="s">
        <v>111</v>
      </c>
      <c r="C329" s="27">
        <v>0</v>
      </c>
      <c r="D329" s="28">
        <v>43342</v>
      </c>
      <c r="E329" s="27">
        <v>873.71</v>
      </c>
      <c r="F329" s="27" t="s">
        <v>1448</v>
      </c>
      <c r="G329" s="27" t="s">
        <v>1449</v>
      </c>
      <c r="H329" s="27" t="s">
        <v>106</v>
      </c>
      <c r="I329" s="27">
        <v>1</v>
      </c>
    </row>
    <row r="330" spans="1:9" x14ac:dyDescent="0.25">
      <c r="A330" s="27" t="s">
        <v>474</v>
      </c>
      <c r="B330" s="27" t="s">
        <v>111</v>
      </c>
      <c r="C330" s="27">
        <v>0</v>
      </c>
      <c r="D330" s="28">
        <v>43342</v>
      </c>
      <c r="E330" s="27">
        <v>476.57</v>
      </c>
      <c r="F330" s="27" t="s">
        <v>1450</v>
      </c>
      <c r="G330" s="27" t="s">
        <v>1451</v>
      </c>
      <c r="H330" s="27" t="s">
        <v>106</v>
      </c>
      <c r="I330" s="27">
        <v>2</v>
      </c>
    </row>
    <row r="331" spans="1:9" x14ac:dyDescent="0.25">
      <c r="A331" s="27" t="s">
        <v>474</v>
      </c>
      <c r="B331" s="27" t="s">
        <v>111</v>
      </c>
      <c r="C331" s="27">
        <v>0</v>
      </c>
      <c r="D331" s="28">
        <v>43343</v>
      </c>
      <c r="E331" s="27">
        <v>-1509.13</v>
      </c>
      <c r="F331" s="27" t="s">
        <v>1452</v>
      </c>
      <c r="G331" s="27" t="s">
        <v>1453</v>
      </c>
      <c r="H331" s="27" t="s">
        <v>106</v>
      </c>
      <c r="I331" s="27">
        <v>2</v>
      </c>
    </row>
    <row r="332" spans="1:9" x14ac:dyDescent="0.25">
      <c r="A332" s="27" t="s">
        <v>474</v>
      </c>
      <c r="B332" s="27" t="s">
        <v>111</v>
      </c>
      <c r="C332" s="27">
        <v>0</v>
      </c>
      <c r="D332" s="28">
        <v>43343</v>
      </c>
      <c r="E332" s="27">
        <v>158.85</v>
      </c>
      <c r="F332" s="27" t="s">
        <v>1454</v>
      </c>
      <c r="G332" s="27" t="s">
        <v>1455</v>
      </c>
      <c r="H332" s="27" t="s">
        <v>106</v>
      </c>
      <c r="I332" s="27">
        <v>6</v>
      </c>
    </row>
    <row r="333" spans="1:9" x14ac:dyDescent="0.25">
      <c r="A333" s="27" t="s">
        <v>474</v>
      </c>
      <c r="B333" s="27" t="s">
        <v>111</v>
      </c>
      <c r="C333" s="27">
        <v>0</v>
      </c>
      <c r="D333" s="28">
        <v>43349</v>
      </c>
      <c r="E333" s="27">
        <v>42176.33</v>
      </c>
      <c r="F333" s="27" t="s">
        <v>1456</v>
      </c>
      <c r="G333" s="27" t="s">
        <v>1457</v>
      </c>
      <c r="H333" s="27" t="s">
        <v>106</v>
      </c>
      <c r="I333" s="27">
        <v>4</v>
      </c>
    </row>
    <row r="334" spans="1:9" x14ac:dyDescent="0.25">
      <c r="A334" s="27" t="s">
        <v>474</v>
      </c>
      <c r="B334" s="27" t="s">
        <v>111</v>
      </c>
      <c r="C334" s="27">
        <v>0</v>
      </c>
      <c r="D334" s="28">
        <v>43353</v>
      </c>
      <c r="E334" s="27">
        <v>-41938.04</v>
      </c>
      <c r="F334" s="27" t="s">
        <v>1458</v>
      </c>
      <c r="G334" s="27" t="s">
        <v>1459</v>
      </c>
      <c r="H334" s="27" t="s">
        <v>106</v>
      </c>
      <c r="I334" s="27">
        <v>2</v>
      </c>
    </row>
    <row r="335" spans="1:9" x14ac:dyDescent="0.25">
      <c r="A335" s="27" t="s">
        <v>474</v>
      </c>
      <c r="B335" s="27" t="s">
        <v>111</v>
      </c>
      <c r="C335" s="27">
        <v>0</v>
      </c>
      <c r="D335" s="28">
        <v>43354</v>
      </c>
      <c r="E335" s="27">
        <v>-397.14</v>
      </c>
      <c r="F335" s="27" t="s">
        <v>1460</v>
      </c>
      <c r="G335" s="27" t="s">
        <v>1461</v>
      </c>
      <c r="H335" s="27" t="s">
        <v>106</v>
      </c>
      <c r="I335" s="27">
        <v>2</v>
      </c>
    </row>
    <row r="336" spans="1:9" x14ac:dyDescent="0.25">
      <c r="A336" s="27" t="s">
        <v>474</v>
      </c>
      <c r="B336" s="27" t="s">
        <v>111</v>
      </c>
      <c r="C336" s="27">
        <v>0</v>
      </c>
      <c r="D336" s="28">
        <v>43355</v>
      </c>
      <c r="E336" s="27">
        <v>397.14</v>
      </c>
      <c r="F336" s="27" t="s">
        <v>1462</v>
      </c>
      <c r="G336" s="27" t="s">
        <v>1463</v>
      </c>
      <c r="H336" s="27" t="s">
        <v>106</v>
      </c>
      <c r="I336" s="27">
        <v>2</v>
      </c>
    </row>
    <row r="337" spans="1:9" x14ac:dyDescent="0.25">
      <c r="A337" s="27" t="s">
        <v>474</v>
      </c>
      <c r="B337" s="27" t="s">
        <v>111</v>
      </c>
      <c r="C337" s="27">
        <v>0</v>
      </c>
      <c r="D337" s="28">
        <v>43355</v>
      </c>
      <c r="E337" s="27">
        <v>158.85</v>
      </c>
      <c r="F337" s="27" t="s">
        <v>1464</v>
      </c>
      <c r="G337" s="27" t="s">
        <v>1465</v>
      </c>
      <c r="H337" s="27" t="s">
        <v>106</v>
      </c>
      <c r="I337" s="27">
        <v>3</v>
      </c>
    </row>
    <row r="338" spans="1:9" x14ac:dyDescent="0.25">
      <c r="A338" s="27" t="s">
        <v>474</v>
      </c>
      <c r="B338" s="27" t="s">
        <v>111</v>
      </c>
      <c r="C338" s="27">
        <v>0</v>
      </c>
      <c r="D338" s="28">
        <v>43355</v>
      </c>
      <c r="E338" s="27">
        <v>1032.57</v>
      </c>
      <c r="F338" s="27" t="s">
        <v>1466</v>
      </c>
      <c r="G338" s="27" t="s">
        <v>1467</v>
      </c>
      <c r="H338" s="27" t="s">
        <v>106</v>
      </c>
      <c r="I338" s="27">
        <v>4</v>
      </c>
    </row>
    <row r="339" spans="1:9" x14ac:dyDescent="0.25">
      <c r="A339" s="27" t="s">
        <v>474</v>
      </c>
      <c r="B339" s="27" t="s">
        <v>111</v>
      </c>
      <c r="C339" s="27">
        <v>0</v>
      </c>
      <c r="D339" s="28">
        <v>43360</v>
      </c>
      <c r="E339" s="27">
        <v>-1509.13</v>
      </c>
      <c r="F339" s="27" t="s">
        <v>1468</v>
      </c>
      <c r="G339" s="27" t="s">
        <v>1469</v>
      </c>
      <c r="H339" s="27" t="s">
        <v>106</v>
      </c>
      <c r="I339" s="27">
        <v>3</v>
      </c>
    </row>
    <row r="340" spans="1:9" x14ac:dyDescent="0.25">
      <c r="A340" s="27" t="s">
        <v>474</v>
      </c>
      <c r="B340" s="27" t="s">
        <v>111</v>
      </c>
      <c r="C340" s="27">
        <v>0</v>
      </c>
      <c r="D340" s="28">
        <v>43361</v>
      </c>
      <c r="E340" s="27">
        <v>1747.41</v>
      </c>
      <c r="F340" s="27" t="s">
        <v>1470</v>
      </c>
      <c r="G340" s="27" t="s">
        <v>1471</v>
      </c>
      <c r="H340" s="27" t="s">
        <v>106</v>
      </c>
      <c r="I340" s="27">
        <v>1</v>
      </c>
    </row>
    <row r="341" spans="1:9" x14ac:dyDescent="0.25">
      <c r="A341" s="27" t="s">
        <v>474</v>
      </c>
      <c r="B341" s="27" t="s">
        <v>111</v>
      </c>
      <c r="C341" s="27">
        <v>0</v>
      </c>
      <c r="D341" s="28">
        <v>43361</v>
      </c>
      <c r="E341" s="27">
        <v>1826.85</v>
      </c>
      <c r="F341" s="27" t="s">
        <v>1472</v>
      </c>
      <c r="G341" s="27" t="s">
        <v>1473</v>
      </c>
      <c r="H341" s="27" t="s">
        <v>106</v>
      </c>
      <c r="I341" s="27">
        <v>2</v>
      </c>
    </row>
    <row r="342" spans="1:9" x14ac:dyDescent="0.25">
      <c r="A342" s="27" t="s">
        <v>474</v>
      </c>
      <c r="B342" s="27" t="s">
        <v>111</v>
      </c>
      <c r="C342" s="27">
        <v>0</v>
      </c>
      <c r="D342" s="28">
        <v>43361</v>
      </c>
      <c r="E342" s="27">
        <v>794.28</v>
      </c>
      <c r="F342" s="27" t="s">
        <v>1474</v>
      </c>
      <c r="G342" s="27" t="s">
        <v>1475</v>
      </c>
      <c r="H342" s="27" t="s">
        <v>106</v>
      </c>
      <c r="I342" s="27">
        <v>3</v>
      </c>
    </row>
    <row r="343" spans="1:9" x14ac:dyDescent="0.25">
      <c r="A343" s="27" t="s">
        <v>474</v>
      </c>
      <c r="B343" s="27" t="s">
        <v>111</v>
      </c>
      <c r="C343" s="27">
        <v>0</v>
      </c>
      <c r="D343" s="28">
        <v>43361</v>
      </c>
      <c r="E343" s="27">
        <v>158.86000000000001</v>
      </c>
      <c r="F343" s="27" t="s">
        <v>1476</v>
      </c>
      <c r="G343" s="27" t="s">
        <v>1477</v>
      </c>
      <c r="H343" s="27" t="s">
        <v>106</v>
      </c>
      <c r="I343" s="27">
        <v>5</v>
      </c>
    </row>
    <row r="344" spans="1:9" x14ac:dyDescent="0.25">
      <c r="A344" s="27" t="s">
        <v>474</v>
      </c>
      <c r="B344" s="27" t="s">
        <v>111</v>
      </c>
      <c r="C344" s="27">
        <v>0</v>
      </c>
      <c r="D344" s="28">
        <v>43363</v>
      </c>
      <c r="E344" s="27">
        <v>-4606.83</v>
      </c>
      <c r="F344" s="27" t="s">
        <v>1478</v>
      </c>
      <c r="G344" s="27" t="s">
        <v>1479</v>
      </c>
      <c r="H344" s="27" t="s">
        <v>106</v>
      </c>
      <c r="I344" s="27">
        <v>3</v>
      </c>
    </row>
    <row r="345" spans="1:9" x14ac:dyDescent="0.25">
      <c r="A345" s="27" t="s">
        <v>474</v>
      </c>
      <c r="B345" s="27" t="s">
        <v>111</v>
      </c>
      <c r="C345" s="27">
        <v>0</v>
      </c>
      <c r="D345" s="28">
        <v>43382</v>
      </c>
      <c r="E345" s="27">
        <v>158.85</v>
      </c>
      <c r="F345" s="27" t="s">
        <v>1480</v>
      </c>
      <c r="G345" s="27" t="s">
        <v>1481</v>
      </c>
      <c r="H345" s="27" t="s">
        <v>106</v>
      </c>
      <c r="I345" s="27">
        <v>2</v>
      </c>
    </row>
    <row r="346" spans="1:9" x14ac:dyDescent="0.25">
      <c r="A346" s="27" t="s">
        <v>474</v>
      </c>
      <c r="B346" s="27" t="s">
        <v>111</v>
      </c>
      <c r="C346" s="27">
        <v>0</v>
      </c>
      <c r="D346" s="28">
        <v>43382</v>
      </c>
      <c r="E346" s="27">
        <v>238.29</v>
      </c>
      <c r="F346" s="27" t="s">
        <v>1482</v>
      </c>
      <c r="G346" s="27" t="s">
        <v>1483</v>
      </c>
      <c r="H346" s="27" t="s">
        <v>106</v>
      </c>
      <c r="I346" s="27">
        <v>4</v>
      </c>
    </row>
    <row r="347" spans="1:9" x14ac:dyDescent="0.25">
      <c r="A347" s="27" t="s">
        <v>474</v>
      </c>
      <c r="B347" s="27" t="s">
        <v>111</v>
      </c>
      <c r="C347" s="27">
        <v>0</v>
      </c>
      <c r="D347" s="28">
        <v>43383</v>
      </c>
      <c r="E347" s="27">
        <v>27402.7</v>
      </c>
      <c r="F347" s="27" t="s">
        <v>1484</v>
      </c>
      <c r="G347" s="27" t="s">
        <v>1485</v>
      </c>
      <c r="H347" s="27" t="s">
        <v>106</v>
      </c>
      <c r="I347" s="27">
        <v>1</v>
      </c>
    </row>
    <row r="348" spans="1:9" x14ac:dyDescent="0.25">
      <c r="A348" s="27" t="s">
        <v>474</v>
      </c>
      <c r="B348" s="27" t="s">
        <v>111</v>
      </c>
      <c r="C348" s="27">
        <v>0</v>
      </c>
      <c r="D348" s="28">
        <v>43384</v>
      </c>
      <c r="E348" s="27">
        <v>-25019.86</v>
      </c>
      <c r="F348" s="27" t="s">
        <v>1486</v>
      </c>
      <c r="G348" s="27" t="s">
        <v>1487</v>
      </c>
      <c r="H348" s="27" t="s">
        <v>106</v>
      </c>
      <c r="I348" s="27">
        <v>3</v>
      </c>
    </row>
    <row r="349" spans="1:9" x14ac:dyDescent="0.25">
      <c r="A349" s="27" t="s">
        <v>474</v>
      </c>
      <c r="B349" s="27" t="s">
        <v>111</v>
      </c>
      <c r="C349" s="27">
        <v>0</v>
      </c>
      <c r="D349" s="28">
        <v>43391</v>
      </c>
      <c r="E349" s="27">
        <v>5401.11</v>
      </c>
      <c r="F349" s="27" t="s">
        <v>1488</v>
      </c>
      <c r="G349" s="27" t="s">
        <v>1489</v>
      </c>
      <c r="H349" s="27" t="s">
        <v>106</v>
      </c>
      <c r="I349" s="27">
        <v>1</v>
      </c>
    </row>
    <row r="350" spans="1:9" x14ac:dyDescent="0.25">
      <c r="A350" s="27" t="s">
        <v>474</v>
      </c>
      <c r="B350" s="27" t="s">
        <v>111</v>
      </c>
      <c r="C350" s="27">
        <v>0</v>
      </c>
      <c r="D350" s="28">
        <v>43391</v>
      </c>
      <c r="E350" s="27">
        <v>158.86000000000001</v>
      </c>
      <c r="F350" s="27" t="s">
        <v>1490</v>
      </c>
      <c r="G350" s="27" t="s">
        <v>1491</v>
      </c>
      <c r="H350" s="27" t="s">
        <v>106</v>
      </c>
      <c r="I350" s="27">
        <v>2</v>
      </c>
    </row>
    <row r="351" spans="1:9" x14ac:dyDescent="0.25">
      <c r="A351" s="27" t="s">
        <v>474</v>
      </c>
      <c r="B351" s="27" t="s">
        <v>111</v>
      </c>
      <c r="C351" s="27">
        <v>0</v>
      </c>
      <c r="D351" s="28">
        <v>43391</v>
      </c>
      <c r="E351" s="27">
        <v>238.28</v>
      </c>
      <c r="F351" s="27" t="s">
        <v>1492</v>
      </c>
      <c r="G351" s="27" t="s">
        <v>1493</v>
      </c>
      <c r="H351" s="27" t="s">
        <v>106</v>
      </c>
      <c r="I351" s="27">
        <v>3</v>
      </c>
    </row>
    <row r="352" spans="1:9" x14ac:dyDescent="0.25">
      <c r="A352" s="27" t="s">
        <v>474</v>
      </c>
      <c r="B352" s="27" t="s">
        <v>111</v>
      </c>
      <c r="C352" s="27">
        <v>0</v>
      </c>
      <c r="D352" s="28">
        <v>43391</v>
      </c>
      <c r="E352" s="27">
        <v>79.430000000000007</v>
      </c>
      <c r="F352" s="27" t="s">
        <v>1494</v>
      </c>
      <c r="G352" s="27" t="s">
        <v>1495</v>
      </c>
      <c r="H352" s="27" t="s">
        <v>106</v>
      </c>
      <c r="I352" s="27">
        <v>6</v>
      </c>
    </row>
    <row r="353" spans="1:9" x14ac:dyDescent="0.25">
      <c r="A353" s="27" t="s">
        <v>474</v>
      </c>
      <c r="B353" s="27" t="s">
        <v>111</v>
      </c>
      <c r="C353" s="27">
        <v>0</v>
      </c>
      <c r="D353" s="28">
        <v>43402</v>
      </c>
      <c r="E353" s="27">
        <v>-8657.66</v>
      </c>
      <c r="F353" s="27" t="s">
        <v>1496</v>
      </c>
      <c r="G353" s="27" t="s">
        <v>1497</v>
      </c>
      <c r="H353" s="27" t="s">
        <v>106</v>
      </c>
      <c r="I353" s="27">
        <v>2</v>
      </c>
    </row>
    <row r="354" spans="1:9" x14ac:dyDescent="0.25">
      <c r="A354" s="27" t="s">
        <v>474</v>
      </c>
      <c r="B354" s="27" t="s">
        <v>111</v>
      </c>
      <c r="C354" s="27">
        <v>0</v>
      </c>
      <c r="D354" s="28">
        <v>43403</v>
      </c>
      <c r="E354" s="27">
        <v>10643.37</v>
      </c>
      <c r="F354" s="27" t="s">
        <v>1498</v>
      </c>
      <c r="G354" s="27" t="s">
        <v>1499</v>
      </c>
      <c r="H354" s="27" t="s">
        <v>106</v>
      </c>
      <c r="I354" s="27">
        <v>1</v>
      </c>
    </row>
    <row r="355" spans="1:9" x14ac:dyDescent="0.25">
      <c r="A355" s="27" t="s">
        <v>474</v>
      </c>
      <c r="B355" s="27" t="s">
        <v>111</v>
      </c>
      <c r="C355" s="27">
        <v>0</v>
      </c>
      <c r="D355" s="28">
        <v>43403</v>
      </c>
      <c r="E355" s="27">
        <v>1191.42</v>
      </c>
      <c r="F355" s="27" t="s">
        <v>1500</v>
      </c>
      <c r="G355" s="27" t="s">
        <v>1501</v>
      </c>
      <c r="H355" s="27" t="s">
        <v>106</v>
      </c>
      <c r="I355" s="27">
        <v>2</v>
      </c>
    </row>
    <row r="356" spans="1:9" x14ac:dyDescent="0.25">
      <c r="A356" s="27" t="s">
        <v>474</v>
      </c>
      <c r="B356" s="27" t="s">
        <v>111</v>
      </c>
      <c r="C356" s="27">
        <v>0</v>
      </c>
      <c r="D356" s="28">
        <v>43403</v>
      </c>
      <c r="E356" s="27">
        <v>238.28</v>
      </c>
      <c r="F356" s="27" t="s">
        <v>1502</v>
      </c>
      <c r="G356" s="27" t="s">
        <v>1503</v>
      </c>
      <c r="H356" s="27" t="s">
        <v>106</v>
      </c>
      <c r="I356" s="27">
        <v>3</v>
      </c>
    </row>
    <row r="357" spans="1:9" x14ac:dyDescent="0.25">
      <c r="A357" s="27" t="s">
        <v>474</v>
      </c>
      <c r="B357" s="27" t="s">
        <v>111</v>
      </c>
      <c r="C357" s="27">
        <v>0</v>
      </c>
      <c r="D357" s="28">
        <v>43403</v>
      </c>
      <c r="E357" s="27">
        <v>1350.28</v>
      </c>
      <c r="F357" s="27" t="s">
        <v>1504</v>
      </c>
      <c r="G357" s="27" t="s">
        <v>1505</v>
      </c>
      <c r="H357" s="27" t="s">
        <v>106</v>
      </c>
      <c r="I357" s="27">
        <v>4</v>
      </c>
    </row>
    <row r="358" spans="1:9" x14ac:dyDescent="0.25">
      <c r="A358" s="27" t="s">
        <v>474</v>
      </c>
      <c r="B358" s="27" t="s">
        <v>111</v>
      </c>
      <c r="C358" s="27">
        <v>0</v>
      </c>
      <c r="D358" s="28">
        <v>43403</v>
      </c>
      <c r="E358" s="27">
        <v>238.28</v>
      </c>
      <c r="F358" s="27" t="s">
        <v>1506</v>
      </c>
      <c r="G358" s="27" t="s">
        <v>1507</v>
      </c>
      <c r="H358" s="27" t="s">
        <v>106</v>
      </c>
      <c r="I358" s="27">
        <v>5</v>
      </c>
    </row>
    <row r="359" spans="1:9" x14ac:dyDescent="0.25">
      <c r="A359" s="27" t="s">
        <v>474</v>
      </c>
      <c r="B359" s="27" t="s">
        <v>111</v>
      </c>
      <c r="C359" s="27">
        <v>0</v>
      </c>
      <c r="D359" s="28">
        <v>43404</v>
      </c>
      <c r="E359" s="27">
        <v>-11358.22</v>
      </c>
      <c r="F359" s="27" t="s">
        <v>1508</v>
      </c>
      <c r="G359" s="27" t="s">
        <v>1509</v>
      </c>
      <c r="H359" s="27" t="s">
        <v>106</v>
      </c>
      <c r="I359" s="27">
        <v>3</v>
      </c>
    </row>
    <row r="360" spans="1:9" x14ac:dyDescent="0.25">
      <c r="A360" s="27" t="s">
        <v>477</v>
      </c>
      <c r="B360" s="27" t="s">
        <v>111</v>
      </c>
      <c r="C360" s="27">
        <v>0</v>
      </c>
      <c r="D360" s="28">
        <v>43242</v>
      </c>
      <c r="E360" s="27">
        <v>-34154.089999999997</v>
      </c>
      <c r="F360" s="27" t="s">
        <v>1510</v>
      </c>
      <c r="G360" s="27" t="s">
        <v>1511</v>
      </c>
      <c r="H360" s="27" t="s">
        <v>106</v>
      </c>
      <c r="I360" s="27">
        <v>1</v>
      </c>
    </row>
    <row r="361" spans="1:9" x14ac:dyDescent="0.25">
      <c r="A361" s="27" t="s">
        <v>477</v>
      </c>
      <c r="B361" s="27" t="s">
        <v>111</v>
      </c>
      <c r="C361" s="27">
        <v>0</v>
      </c>
      <c r="D361" s="28">
        <v>43243</v>
      </c>
      <c r="E361" s="27">
        <v>-15357.43</v>
      </c>
      <c r="F361" s="27" t="s">
        <v>1512</v>
      </c>
      <c r="G361" s="27" t="s">
        <v>1513</v>
      </c>
      <c r="H361" s="27" t="s">
        <v>106</v>
      </c>
      <c r="I361" s="27">
        <v>1</v>
      </c>
    </row>
    <row r="362" spans="1:9" x14ac:dyDescent="0.25">
      <c r="A362" s="27" t="s">
        <v>477</v>
      </c>
      <c r="B362" s="27" t="s">
        <v>111</v>
      </c>
      <c r="C362" s="27">
        <v>0</v>
      </c>
      <c r="D362" s="28">
        <v>43244</v>
      </c>
      <c r="E362" s="27">
        <v>23768.87</v>
      </c>
      <c r="F362" s="27" t="s">
        <v>1514</v>
      </c>
      <c r="G362" s="27" t="s">
        <v>1515</v>
      </c>
      <c r="H362" s="27" t="s">
        <v>106</v>
      </c>
      <c r="I362" s="27">
        <v>1</v>
      </c>
    </row>
    <row r="363" spans="1:9" x14ac:dyDescent="0.25">
      <c r="A363" s="27" t="s">
        <v>477</v>
      </c>
      <c r="B363" s="27" t="s">
        <v>111</v>
      </c>
      <c r="C363" s="27">
        <v>0</v>
      </c>
      <c r="D363" s="28">
        <v>43245</v>
      </c>
      <c r="E363" s="27">
        <v>-9046.8700000000008</v>
      </c>
      <c r="F363" s="27" t="s">
        <v>1516</v>
      </c>
      <c r="G363" s="27" t="s">
        <v>1517</v>
      </c>
      <c r="H363" s="27" t="s">
        <v>106</v>
      </c>
      <c r="I363" s="27">
        <v>1</v>
      </c>
    </row>
    <row r="364" spans="1:9" x14ac:dyDescent="0.25">
      <c r="A364" s="27" t="s">
        <v>477</v>
      </c>
      <c r="B364" s="27" t="s">
        <v>111</v>
      </c>
      <c r="C364" s="27">
        <v>0</v>
      </c>
      <c r="D364" s="28">
        <v>43248</v>
      </c>
      <c r="E364" s="27">
        <v>-794.28</v>
      </c>
      <c r="F364" s="27" t="s">
        <v>1518</v>
      </c>
      <c r="G364" s="27" t="s">
        <v>1519</v>
      </c>
      <c r="H364" s="27" t="s">
        <v>106</v>
      </c>
      <c r="I364" s="27">
        <v>1</v>
      </c>
    </row>
    <row r="365" spans="1:9" x14ac:dyDescent="0.25">
      <c r="A365" s="27" t="s">
        <v>477</v>
      </c>
      <c r="B365" s="27" t="s">
        <v>111</v>
      </c>
      <c r="C365" s="27">
        <v>0</v>
      </c>
      <c r="D365" s="28">
        <v>43251</v>
      </c>
      <c r="E365" s="27">
        <v>4251</v>
      </c>
      <c r="F365" s="27" t="s">
        <v>1520</v>
      </c>
      <c r="G365" s="27" t="s">
        <v>1521</v>
      </c>
      <c r="H365" s="27" t="s">
        <v>106</v>
      </c>
      <c r="I365" s="27">
        <v>1</v>
      </c>
    </row>
    <row r="366" spans="1:9" x14ac:dyDescent="0.25">
      <c r="A366" s="27" t="s">
        <v>477</v>
      </c>
      <c r="B366" s="27" t="s">
        <v>111</v>
      </c>
      <c r="C366" s="27">
        <v>0</v>
      </c>
      <c r="D366" s="28">
        <v>43252</v>
      </c>
      <c r="E366" s="27">
        <v>5915.8</v>
      </c>
      <c r="F366" s="27" t="s">
        <v>1522</v>
      </c>
      <c r="G366" s="27" t="s">
        <v>1523</v>
      </c>
      <c r="H366" s="27" t="s">
        <v>106</v>
      </c>
      <c r="I366" s="27">
        <v>1</v>
      </c>
    </row>
    <row r="367" spans="1:9" x14ac:dyDescent="0.25">
      <c r="A367" s="27" t="s">
        <v>477</v>
      </c>
      <c r="B367" s="27" t="s">
        <v>111</v>
      </c>
      <c r="C367" s="27">
        <v>0</v>
      </c>
      <c r="D367" s="28">
        <v>43255</v>
      </c>
      <c r="E367" s="27">
        <v>5454.33</v>
      </c>
      <c r="F367" s="27" t="s">
        <v>1524</v>
      </c>
      <c r="G367" s="27" t="s">
        <v>1525</v>
      </c>
      <c r="H367" s="27" t="s">
        <v>106</v>
      </c>
      <c r="I367" s="27">
        <v>1</v>
      </c>
    </row>
    <row r="368" spans="1:9" x14ac:dyDescent="0.25">
      <c r="A368" s="27" t="s">
        <v>477</v>
      </c>
      <c r="B368" s="27" t="s">
        <v>111</v>
      </c>
      <c r="C368" s="27">
        <v>0</v>
      </c>
      <c r="D368" s="28">
        <v>43256</v>
      </c>
      <c r="E368" s="27">
        <v>-30633.040000000001</v>
      </c>
      <c r="F368" s="27" t="s">
        <v>1526</v>
      </c>
      <c r="G368" s="27" t="s">
        <v>1527</v>
      </c>
      <c r="H368" s="27" t="s">
        <v>106</v>
      </c>
      <c r="I368" s="27">
        <v>1</v>
      </c>
    </row>
    <row r="369" spans="1:9" x14ac:dyDescent="0.25">
      <c r="A369" s="27" t="s">
        <v>477</v>
      </c>
      <c r="B369" s="27" t="s">
        <v>111</v>
      </c>
      <c r="C369" s="27">
        <v>0</v>
      </c>
      <c r="D369" s="28">
        <v>43257</v>
      </c>
      <c r="E369" s="27">
        <v>-26319.3</v>
      </c>
      <c r="F369" s="27" t="s">
        <v>1528</v>
      </c>
      <c r="G369" s="27" t="s">
        <v>1529</v>
      </c>
      <c r="H369" s="27" t="s">
        <v>106</v>
      </c>
      <c r="I369" s="27">
        <v>1</v>
      </c>
    </row>
    <row r="370" spans="1:9" x14ac:dyDescent="0.25">
      <c r="A370" s="27" t="s">
        <v>477</v>
      </c>
      <c r="B370" s="27" t="s">
        <v>111</v>
      </c>
      <c r="C370" s="27">
        <v>0</v>
      </c>
      <c r="D370" s="28">
        <v>43262</v>
      </c>
      <c r="E370" s="27">
        <v>5667.99</v>
      </c>
      <c r="F370" s="27" t="s">
        <v>1530</v>
      </c>
      <c r="G370" s="27" t="s">
        <v>1531</v>
      </c>
      <c r="H370" s="27" t="s">
        <v>106</v>
      </c>
      <c r="I370" s="27">
        <v>1</v>
      </c>
    </row>
    <row r="371" spans="1:9" x14ac:dyDescent="0.25">
      <c r="A371" s="27" t="s">
        <v>477</v>
      </c>
      <c r="B371" s="27" t="s">
        <v>111</v>
      </c>
      <c r="C371" s="27">
        <v>0</v>
      </c>
      <c r="D371" s="28">
        <v>43263</v>
      </c>
      <c r="E371" s="27">
        <v>-1032.57</v>
      </c>
      <c r="F371" s="27" t="s">
        <v>1532</v>
      </c>
      <c r="G371" s="27" t="s">
        <v>1533</v>
      </c>
      <c r="H371" s="27" t="s">
        <v>106</v>
      </c>
      <c r="I371" s="27">
        <v>1</v>
      </c>
    </row>
    <row r="372" spans="1:9" x14ac:dyDescent="0.25">
      <c r="A372" s="27" t="s">
        <v>477</v>
      </c>
      <c r="B372" s="27" t="s">
        <v>111</v>
      </c>
      <c r="C372" s="27">
        <v>0</v>
      </c>
      <c r="D372" s="28">
        <v>43264</v>
      </c>
      <c r="E372" s="27">
        <v>5526.61</v>
      </c>
      <c r="F372" s="27" t="s">
        <v>1534</v>
      </c>
      <c r="G372" s="27" t="s">
        <v>1535</v>
      </c>
      <c r="H372" s="27" t="s">
        <v>106</v>
      </c>
      <c r="I372" s="27">
        <v>1</v>
      </c>
    </row>
    <row r="373" spans="1:9" x14ac:dyDescent="0.25">
      <c r="A373" s="27" t="s">
        <v>477</v>
      </c>
      <c r="B373" s="27" t="s">
        <v>111</v>
      </c>
      <c r="C373" s="27">
        <v>0</v>
      </c>
      <c r="D373" s="28">
        <v>43265</v>
      </c>
      <c r="E373" s="27">
        <v>13689.44</v>
      </c>
      <c r="F373" s="27" t="s">
        <v>1536</v>
      </c>
      <c r="G373" s="27" t="s">
        <v>1537</v>
      </c>
      <c r="H373" s="27" t="s">
        <v>106</v>
      </c>
      <c r="I373" s="27">
        <v>1</v>
      </c>
    </row>
    <row r="374" spans="1:9" x14ac:dyDescent="0.25">
      <c r="A374" s="27" t="s">
        <v>477</v>
      </c>
      <c r="B374" s="27" t="s">
        <v>111</v>
      </c>
      <c r="C374" s="27">
        <v>0</v>
      </c>
      <c r="D374" s="28">
        <v>43266</v>
      </c>
      <c r="E374" s="27">
        <v>-41535.35</v>
      </c>
      <c r="F374" s="27" t="s">
        <v>1538</v>
      </c>
      <c r="G374" s="27" t="s">
        <v>1539</v>
      </c>
      <c r="H374" s="27" t="s">
        <v>106</v>
      </c>
      <c r="I374" s="27">
        <v>1</v>
      </c>
    </row>
    <row r="375" spans="1:9" x14ac:dyDescent="0.25">
      <c r="A375" s="27" t="s">
        <v>477</v>
      </c>
      <c r="B375" s="27" t="s">
        <v>111</v>
      </c>
      <c r="C375" s="27">
        <v>0</v>
      </c>
      <c r="D375" s="28">
        <v>43271</v>
      </c>
      <c r="E375" s="27">
        <v>29112.79</v>
      </c>
      <c r="F375" s="27" t="s">
        <v>1540</v>
      </c>
      <c r="G375" s="27" t="s">
        <v>1541</v>
      </c>
      <c r="H375" s="27" t="s">
        <v>106</v>
      </c>
      <c r="I375" s="27">
        <v>1</v>
      </c>
    </row>
    <row r="376" spans="1:9" x14ac:dyDescent="0.25">
      <c r="A376" s="27" t="s">
        <v>477</v>
      </c>
      <c r="B376" s="27" t="s">
        <v>111</v>
      </c>
      <c r="C376" s="27">
        <v>0</v>
      </c>
      <c r="D376" s="28">
        <v>43272</v>
      </c>
      <c r="E376" s="27">
        <v>-3378.08</v>
      </c>
      <c r="F376" s="27" t="s">
        <v>1542</v>
      </c>
      <c r="G376" s="27" t="s">
        <v>1543</v>
      </c>
      <c r="H376" s="27" t="s">
        <v>106</v>
      </c>
      <c r="I376" s="27">
        <v>1</v>
      </c>
    </row>
    <row r="377" spans="1:9" x14ac:dyDescent="0.25">
      <c r="A377" s="27" t="s">
        <v>477</v>
      </c>
      <c r="B377" s="27" t="s">
        <v>111</v>
      </c>
      <c r="C377" s="27">
        <v>0</v>
      </c>
      <c r="D377" s="28">
        <v>43273</v>
      </c>
      <c r="E377" s="27">
        <v>5242.26</v>
      </c>
      <c r="F377" s="27" t="s">
        <v>1544</v>
      </c>
      <c r="G377" s="27" t="s">
        <v>1545</v>
      </c>
      <c r="H377" s="27" t="s">
        <v>106</v>
      </c>
      <c r="I377" s="27">
        <v>1</v>
      </c>
    </row>
    <row r="378" spans="1:9" x14ac:dyDescent="0.25">
      <c r="A378" s="27" t="s">
        <v>477</v>
      </c>
      <c r="B378" s="27" t="s">
        <v>111</v>
      </c>
      <c r="C378" s="27">
        <v>0</v>
      </c>
      <c r="D378" s="28">
        <v>43276</v>
      </c>
      <c r="E378" s="27">
        <v>6223.99</v>
      </c>
      <c r="F378" s="27" t="s">
        <v>1546</v>
      </c>
      <c r="G378" s="27" t="s">
        <v>1547</v>
      </c>
      <c r="H378" s="27" t="s">
        <v>106</v>
      </c>
      <c r="I378" s="27">
        <v>1</v>
      </c>
    </row>
    <row r="379" spans="1:9" x14ac:dyDescent="0.25">
      <c r="A379" s="27" t="s">
        <v>477</v>
      </c>
      <c r="B379" s="27" t="s">
        <v>111</v>
      </c>
      <c r="C379" s="27">
        <v>0</v>
      </c>
      <c r="D379" s="28">
        <v>43277</v>
      </c>
      <c r="E379" s="27">
        <v>-509754.57</v>
      </c>
      <c r="F379" s="27" t="s">
        <v>1548</v>
      </c>
      <c r="G379" s="27" t="s">
        <v>1549</v>
      </c>
      <c r="H379" s="27" t="s">
        <v>106</v>
      </c>
      <c r="I379" s="27">
        <v>1</v>
      </c>
    </row>
    <row r="380" spans="1:9" x14ac:dyDescent="0.25">
      <c r="A380" s="27" t="s">
        <v>477</v>
      </c>
      <c r="B380" s="27" t="s">
        <v>111</v>
      </c>
      <c r="C380" s="27">
        <v>0</v>
      </c>
      <c r="D380" s="28">
        <v>43280</v>
      </c>
      <c r="E380" s="27">
        <v>501189.04</v>
      </c>
      <c r="F380" s="27" t="s">
        <v>1550</v>
      </c>
      <c r="G380" s="27" t="s">
        <v>1551</v>
      </c>
      <c r="H380" s="27" t="s">
        <v>106</v>
      </c>
      <c r="I380" s="27">
        <v>1</v>
      </c>
    </row>
    <row r="381" spans="1:9" x14ac:dyDescent="0.25">
      <c r="A381" s="27" t="s">
        <v>477</v>
      </c>
      <c r="B381" s="27" t="s">
        <v>111</v>
      </c>
      <c r="C381" s="27">
        <v>0</v>
      </c>
      <c r="D381" s="28">
        <v>43283</v>
      </c>
      <c r="E381" s="27">
        <v>13313.74</v>
      </c>
      <c r="F381" s="27" t="s">
        <v>1552</v>
      </c>
      <c r="G381" s="27" t="s">
        <v>1553</v>
      </c>
      <c r="H381" s="27" t="s">
        <v>106</v>
      </c>
      <c r="I381" s="27">
        <v>1</v>
      </c>
    </row>
    <row r="382" spans="1:9" x14ac:dyDescent="0.25">
      <c r="A382" s="27" t="s">
        <v>477</v>
      </c>
      <c r="B382" s="27" t="s">
        <v>111</v>
      </c>
      <c r="C382" s="27">
        <v>0</v>
      </c>
      <c r="D382" s="28">
        <v>43284</v>
      </c>
      <c r="E382" s="27">
        <v>9597.2999999999993</v>
      </c>
      <c r="F382" s="27" t="s">
        <v>1554</v>
      </c>
      <c r="G382" s="27" t="s">
        <v>1555</v>
      </c>
      <c r="H382" s="27" t="s">
        <v>106</v>
      </c>
      <c r="I382" s="27">
        <v>1</v>
      </c>
    </row>
    <row r="383" spans="1:9" x14ac:dyDescent="0.25">
      <c r="A383" s="27" t="s">
        <v>477</v>
      </c>
      <c r="B383" s="27" t="s">
        <v>111</v>
      </c>
      <c r="C383" s="27">
        <v>0</v>
      </c>
      <c r="D383" s="28">
        <v>43285</v>
      </c>
      <c r="E383" s="27">
        <v>-1665.61</v>
      </c>
      <c r="F383" s="27" t="s">
        <v>1556</v>
      </c>
      <c r="G383" s="27" t="s">
        <v>1557</v>
      </c>
      <c r="H383" s="27" t="s">
        <v>106</v>
      </c>
      <c r="I383" s="27">
        <v>1</v>
      </c>
    </row>
    <row r="384" spans="1:9" x14ac:dyDescent="0.25">
      <c r="A384" s="27" t="s">
        <v>477</v>
      </c>
      <c r="B384" s="27" t="s">
        <v>111</v>
      </c>
      <c r="C384" s="27">
        <v>0</v>
      </c>
      <c r="D384" s="28">
        <v>43286</v>
      </c>
      <c r="E384" s="27">
        <v>6559.97</v>
      </c>
      <c r="F384" s="27" t="s">
        <v>1558</v>
      </c>
      <c r="G384" s="27" t="s">
        <v>1559</v>
      </c>
      <c r="H384" s="27" t="s">
        <v>106</v>
      </c>
      <c r="I384" s="27">
        <v>1</v>
      </c>
    </row>
    <row r="385" spans="1:9" x14ac:dyDescent="0.25">
      <c r="A385" s="27" t="s">
        <v>477</v>
      </c>
      <c r="B385" s="27" t="s">
        <v>111</v>
      </c>
      <c r="C385" s="27">
        <v>0</v>
      </c>
      <c r="D385" s="28">
        <v>43291</v>
      </c>
      <c r="E385" s="27">
        <v>-28566.32</v>
      </c>
      <c r="F385" s="27" t="s">
        <v>1560</v>
      </c>
      <c r="G385" s="27" t="s">
        <v>1561</v>
      </c>
      <c r="H385" s="27" t="s">
        <v>106</v>
      </c>
      <c r="I385" s="27">
        <v>1</v>
      </c>
    </row>
    <row r="386" spans="1:9" x14ac:dyDescent="0.25">
      <c r="A386" s="27" t="s">
        <v>477</v>
      </c>
      <c r="B386" s="27" t="s">
        <v>111</v>
      </c>
      <c r="C386" s="27">
        <v>0</v>
      </c>
      <c r="D386" s="28">
        <v>43292</v>
      </c>
      <c r="E386" s="27">
        <v>22562.35</v>
      </c>
      <c r="F386" s="27" t="s">
        <v>1562</v>
      </c>
      <c r="G386" s="27" t="s">
        <v>1563</v>
      </c>
      <c r="H386" s="27" t="s">
        <v>106</v>
      </c>
      <c r="I386" s="27">
        <v>1</v>
      </c>
    </row>
    <row r="387" spans="1:9" x14ac:dyDescent="0.25">
      <c r="A387" s="27" t="s">
        <v>477</v>
      </c>
      <c r="B387" s="27" t="s">
        <v>111</v>
      </c>
      <c r="C387" s="27">
        <v>0</v>
      </c>
      <c r="D387" s="28">
        <v>43293</v>
      </c>
      <c r="E387" s="27">
        <v>-33541.699999999997</v>
      </c>
      <c r="F387" s="27" t="s">
        <v>1564</v>
      </c>
      <c r="G387" s="27" t="s">
        <v>1565</v>
      </c>
      <c r="H387" s="27" t="s">
        <v>106</v>
      </c>
      <c r="I387" s="27">
        <v>1</v>
      </c>
    </row>
    <row r="388" spans="1:9" x14ac:dyDescent="0.25">
      <c r="A388" s="27" t="s">
        <v>477</v>
      </c>
      <c r="B388" s="27" t="s">
        <v>111</v>
      </c>
      <c r="C388" s="27">
        <v>0</v>
      </c>
      <c r="D388" s="28">
        <v>43294</v>
      </c>
      <c r="E388" s="27">
        <v>27425.73</v>
      </c>
      <c r="F388" s="27" t="s">
        <v>1566</v>
      </c>
      <c r="G388" s="27" t="s">
        <v>1567</v>
      </c>
      <c r="H388" s="27" t="s">
        <v>106</v>
      </c>
      <c r="I388" s="27">
        <v>1</v>
      </c>
    </row>
    <row r="389" spans="1:9" x14ac:dyDescent="0.25">
      <c r="A389" s="27" t="s">
        <v>477</v>
      </c>
      <c r="B389" s="27" t="s">
        <v>111</v>
      </c>
      <c r="C389" s="27">
        <v>0</v>
      </c>
      <c r="D389" s="28">
        <v>43297</v>
      </c>
      <c r="E389" s="27">
        <v>1285.94</v>
      </c>
      <c r="F389" s="27" t="s">
        <v>1568</v>
      </c>
      <c r="G389" s="27" t="s">
        <v>1569</v>
      </c>
      <c r="H389" s="27" t="s">
        <v>106</v>
      </c>
      <c r="I389" s="27">
        <v>1</v>
      </c>
    </row>
    <row r="390" spans="1:9" x14ac:dyDescent="0.25">
      <c r="A390" s="27" t="s">
        <v>477</v>
      </c>
      <c r="B390" s="27" t="s">
        <v>111</v>
      </c>
      <c r="C390" s="27">
        <v>0</v>
      </c>
      <c r="D390" s="28">
        <v>43300</v>
      </c>
      <c r="E390" s="27">
        <v>-40046.86</v>
      </c>
      <c r="F390" s="27" t="s">
        <v>1570</v>
      </c>
      <c r="G390" s="27" t="s">
        <v>1571</v>
      </c>
      <c r="H390" s="27" t="s">
        <v>106</v>
      </c>
      <c r="I390" s="27">
        <v>1</v>
      </c>
    </row>
    <row r="391" spans="1:9" x14ac:dyDescent="0.25">
      <c r="A391" s="27" t="s">
        <v>477</v>
      </c>
      <c r="B391" s="27" t="s">
        <v>111</v>
      </c>
      <c r="C391" s="27">
        <v>0</v>
      </c>
      <c r="D391" s="28">
        <v>43301</v>
      </c>
      <c r="E391" s="27">
        <v>23034.15</v>
      </c>
      <c r="F391" s="27" t="s">
        <v>1572</v>
      </c>
      <c r="G391" s="27" t="s">
        <v>1573</v>
      </c>
      <c r="H391" s="27" t="s">
        <v>106</v>
      </c>
      <c r="I391" s="27">
        <v>1</v>
      </c>
    </row>
    <row r="392" spans="1:9" x14ac:dyDescent="0.25">
      <c r="A392" s="27" t="s">
        <v>477</v>
      </c>
      <c r="B392" s="27" t="s">
        <v>111</v>
      </c>
      <c r="C392" s="27">
        <v>0</v>
      </c>
      <c r="D392" s="28">
        <v>43304</v>
      </c>
      <c r="E392" s="27">
        <v>-30470.21</v>
      </c>
      <c r="F392" s="27" t="s">
        <v>1574</v>
      </c>
      <c r="G392" s="27" t="s">
        <v>1575</v>
      </c>
      <c r="H392" s="27" t="s">
        <v>106</v>
      </c>
      <c r="I392" s="27">
        <v>1</v>
      </c>
    </row>
    <row r="393" spans="1:9" x14ac:dyDescent="0.25">
      <c r="A393" s="27" t="s">
        <v>477</v>
      </c>
      <c r="B393" s="27" t="s">
        <v>111</v>
      </c>
      <c r="C393" s="27">
        <v>0</v>
      </c>
      <c r="D393" s="28">
        <v>43305</v>
      </c>
      <c r="E393" s="27">
        <v>42066.720000000001</v>
      </c>
      <c r="F393" s="27" t="s">
        <v>1576</v>
      </c>
      <c r="G393" s="27" t="s">
        <v>1577</v>
      </c>
      <c r="H393" s="27" t="s">
        <v>106</v>
      </c>
      <c r="I393" s="27">
        <v>1</v>
      </c>
    </row>
    <row r="394" spans="1:9" x14ac:dyDescent="0.25">
      <c r="A394" s="27" t="s">
        <v>477</v>
      </c>
      <c r="B394" s="27" t="s">
        <v>111</v>
      </c>
      <c r="C394" s="27">
        <v>0</v>
      </c>
      <c r="D394" s="28">
        <v>43306</v>
      </c>
      <c r="E394" s="27">
        <v>-115571.88</v>
      </c>
      <c r="F394" s="27" t="s">
        <v>1578</v>
      </c>
      <c r="G394" s="27" t="s">
        <v>1579</v>
      </c>
      <c r="H394" s="27" t="s">
        <v>106</v>
      </c>
      <c r="I394" s="27">
        <v>1</v>
      </c>
    </row>
    <row r="395" spans="1:9" x14ac:dyDescent="0.25">
      <c r="A395" s="27" t="s">
        <v>477</v>
      </c>
      <c r="B395" s="27" t="s">
        <v>111</v>
      </c>
      <c r="C395" s="27">
        <v>0</v>
      </c>
      <c r="D395" s="28">
        <v>43311</v>
      </c>
      <c r="E395" s="27">
        <v>111645.75</v>
      </c>
      <c r="F395" s="27" t="s">
        <v>1580</v>
      </c>
      <c r="G395" s="27" t="s">
        <v>1581</v>
      </c>
      <c r="H395" s="27" t="s">
        <v>106</v>
      </c>
      <c r="I395" s="27">
        <v>1</v>
      </c>
    </row>
    <row r="396" spans="1:9" x14ac:dyDescent="0.25">
      <c r="A396" s="27" t="s">
        <v>477</v>
      </c>
      <c r="B396" s="27" t="s">
        <v>111</v>
      </c>
      <c r="C396" s="27">
        <v>0</v>
      </c>
      <c r="D396" s="28">
        <v>43312</v>
      </c>
      <c r="E396" s="27">
        <v>-11626.69</v>
      </c>
      <c r="F396" s="27" t="s">
        <v>1582</v>
      </c>
      <c r="G396" s="27" t="s">
        <v>1583</v>
      </c>
      <c r="H396" s="27" t="s">
        <v>106</v>
      </c>
      <c r="I396" s="27">
        <v>1</v>
      </c>
    </row>
    <row r="397" spans="1:9" x14ac:dyDescent="0.25">
      <c r="A397" s="27" t="s">
        <v>477</v>
      </c>
      <c r="B397" s="27" t="s">
        <v>111</v>
      </c>
      <c r="C397" s="27">
        <v>0</v>
      </c>
      <c r="D397" s="28">
        <v>43313</v>
      </c>
      <c r="E397" s="27">
        <v>14202.54</v>
      </c>
      <c r="F397" s="27" t="s">
        <v>1584</v>
      </c>
      <c r="G397" s="27" t="s">
        <v>1585</v>
      </c>
      <c r="H397" s="27" t="s">
        <v>106</v>
      </c>
      <c r="I397" s="27">
        <v>1</v>
      </c>
    </row>
    <row r="398" spans="1:9" x14ac:dyDescent="0.25">
      <c r="A398" s="27" t="s">
        <v>477</v>
      </c>
      <c r="B398" s="27" t="s">
        <v>111</v>
      </c>
      <c r="C398" s="27">
        <v>0</v>
      </c>
      <c r="D398" s="28">
        <v>43314</v>
      </c>
      <c r="E398" s="27">
        <v>-8351.8700000000008</v>
      </c>
      <c r="F398" s="27" t="s">
        <v>1586</v>
      </c>
      <c r="G398" s="27" t="s">
        <v>1587</v>
      </c>
      <c r="H398" s="27" t="s">
        <v>106</v>
      </c>
      <c r="I398" s="27">
        <v>1</v>
      </c>
    </row>
    <row r="399" spans="1:9" x14ac:dyDescent="0.25">
      <c r="A399" s="27" t="s">
        <v>477</v>
      </c>
      <c r="B399" s="27" t="s">
        <v>111</v>
      </c>
      <c r="C399" s="27">
        <v>0</v>
      </c>
      <c r="D399" s="28">
        <v>43315</v>
      </c>
      <c r="E399" s="27">
        <v>-447406.67</v>
      </c>
      <c r="F399" s="27" t="s">
        <v>1588</v>
      </c>
      <c r="G399" s="27" t="s">
        <v>1589</v>
      </c>
      <c r="H399" s="27" t="s">
        <v>106</v>
      </c>
      <c r="I399" s="27">
        <v>1</v>
      </c>
    </row>
    <row r="400" spans="1:9" x14ac:dyDescent="0.25">
      <c r="A400" s="27" t="s">
        <v>477</v>
      </c>
      <c r="B400" s="27" t="s">
        <v>111</v>
      </c>
      <c r="C400" s="27">
        <v>0</v>
      </c>
      <c r="D400" s="28">
        <v>43320</v>
      </c>
      <c r="E400" s="27">
        <v>425099.29</v>
      </c>
      <c r="F400" s="27" t="s">
        <v>1590</v>
      </c>
      <c r="G400" s="27" t="s">
        <v>1591</v>
      </c>
      <c r="H400" s="27" t="s">
        <v>106</v>
      </c>
      <c r="I400" s="27">
        <v>1</v>
      </c>
    </row>
    <row r="401" spans="1:9" x14ac:dyDescent="0.25">
      <c r="A401" s="27" t="s">
        <v>477</v>
      </c>
      <c r="B401" s="27" t="s">
        <v>111</v>
      </c>
      <c r="C401" s="27">
        <v>0</v>
      </c>
      <c r="D401" s="28">
        <v>43321</v>
      </c>
      <c r="E401" s="27">
        <v>13393.17</v>
      </c>
      <c r="F401" s="27" t="s">
        <v>1592</v>
      </c>
      <c r="G401" s="27" t="s">
        <v>1593</v>
      </c>
      <c r="H401" s="27" t="s">
        <v>106</v>
      </c>
      <c r="I401" s="27">
        <v>1</v>
      </c>
    </row>
    <row r="402" spans="1:9" x14ac:dyDescent="0.25">
      <c r="A402" s="27" t="s">
        <v>477</v>
      </c>
      <c r="B402" s="27" t="s">
        <v>111</v>
      </c>
      <c r="C402" s="27">
        <v>0</v>
      </c>
      <c r="D402" s="28">
        <v>43322</v>
      </c>
      <c r="E402" s="27">
        <v>39664.81</v>
      </c>
      <c r="F402" s="27" t="s">
        <v>1594</v>
      </c>
      <c r="G402" s="27" t="s">
        <v>1595</v>
      </c>
      <c r="H402" s="27" t="s">
        <v>106</v>
      </c>
      <c r="I402" s="27">
        <v>1</v>
      </c>
    </row>
    <row r="403" spans="1:9" x14ac:dyDescent="0.25">
      <c r="A403" s="27" t="s">
        <v>477</v>
      </c>
      <c r="B403" s="27" t="s">
        <v>111</v>
      </c>
      <c r="C403" s="27">
        <v>0</v>
      </c>
      <c r="D403" s="28">
        <v>43325</v>
      </c>
      <c r="E403" s="27">
        <v>-18453.53</v>
      </c>
      <c r="F403" s="27" t="s">
        <v>1596</v>
      </c>
      <c r="G403" s="27" t="s">
        <v>1597</v>
      </c>
      <c r="H403" s="27" t="s">
        <v>106</v>
      </c>
      <c r="I403" s="27">
        <v>1</v>
      </c>
    </row>
    <row r="404" spans="1:9" x14ac:dyDescent="0.25">
      <c r="A404" s="27" t="s">
        <v>477</v>
      </c>
      <c r="B404" s="27" t="s">
        <v>111</v>
      </c>
      <c r="C404" s="27">
        <v>0</v>
      </c>
      <c r="D404" s="28">
        <v>43326</v>
      </c>
      <c r="E404" s="27">
        <v>-40958.699999999997</v>
      </c>
      <c r="F404" s="27" t="s">
        <v>1598</v>
      </c>
      <c r="G404" s="27" t="s">
        <v>1599</v>
      </c>
      <c r="H404" s="27" t="s">
        <v>106</v>
      </c>
      <c r="I404" s="27">
        <v>1</v>
      </c>
    </row>
    <row r="405" spans="1:9" x14ac:dyDescent="0.25">
      <c r="A405" s="27" t="s">
        <v>477</v>
      </c>
      <c r="B405" s="27" t="s">
        <v>111</v>
      </c>
      <c r="C405" s="27">
        <v>0</v>
      </c>
      <c r="D405" s="28">
        <v>43329</v>
      </c>
      <c r="E405" s="27">
        <v>38015.879999999997</v>
      </c>
      <c r="F405" s="27" t="s">
        <v>1600</v>
      </c>
      <c r="G405" s="27" t="s">
        <v>1601</v>
      </c>
      <c r="H405" s="27" t="s">
        <v>106</v>
      </c>
      <c r="I405" s="27">
        <v>1</v>
      </c>
    </row>
    <row r="406" spans="1:9" x14ac:dyDescent="0.25">
      <c r="A406" s="27" t="s">
        <v>477</v>
      </c>
      <c r="B406" s="27" t="s">
        <v>111</v>
      </c>
      <c r="C406" s="27">
        <v>0</v>
      </c>
      <c r="D406" s="28">
        <v>43332</v>
      </c>
      <c r="E406" s="27">
        <v>-32217.63</v>
      </c>
      <c r="F406" s="27" t="s">
        <v>1602</v>
      </c>
      <c r="G406" s="27" t="s">
        <v>1603</v>
      </c>
      <c r="H406" s="27" t="s">
        <v>106</v>
      </c>
      <c r="I406" s="27">
        <v>1</v>
      </c>
    </row>
    <row r="407" spans="1:9" x14ac:dyDescent="0.25">
      <c r="A407" s="27" t="s">
        <v>477</v>
      </c>
      <c r="B407" s="27" t="s">
        <v>111</v>
      </c>
      <c r="C407" s="27">
        <v>0</v>
      </c>
      <c r="D407" s="28">
        <v>43333</v>
      </c>
      <c r="E407" s="27">
        <v>73232.73</v>
      </c>
      <c r="F407" s="27" t="s">
        <v>1604</v>
      </c>
      <c r="G407" s="27" t="s">
        <v>1605</v>
      </c>
      <c r="H407" s="27" t="s">
        <v>106</v>
      </c>
      <c r="I407" s="27">
        <v>1</v>
      </c>
    </row>
    <row r="408" spans="1:9" x14ac:dyDescent="0.25">
      <c r="A408" s="27" t="s">
        <v>477</v>
      </c>
      <c r="B408" s="27" t="s">
        <v>111</v>
      </c>
      <c r="C408" s="27">
        <v>0</v>
      </c>
      <c r="D408" s="28">
        <v>43335</v>
      </c>
      <c r="E408" s="27">
        <v>-24931.7</v>
      </c>
      <c r="F408" s="27" t="s">
        <v>1606</v>
      </c>
      <c r="G408" s="27" t="s">
        <v>1607</v>
      </c>
      <c r="H408" s="27" t="s">
        <v>106</v>
      </c>
      <c r="I408" s="27">
        <v>1</v>
      </c>
    </row>
    <row r="409" spans="1:9" x14ac:dyDescent="0.25">
      <c r="A409" s="27" t="s">
        <v>477</v>
      </c>
      <c r="B409" s="27" t="s">
        <v>111</v>
      </c>
      <c r="C409" s="27">
        <v>0</v>
      </c>
      <c r="D409" s="28">
        <v>43340</v>
      </c>
      <c r="E409" s="27">
        <v>-55760.92</v>
      </c>
      <c r="F409" s="27" t="s">
        <v>1608</v>
      </c>
      <c r="G409" s="27" t="s">
        <v>1609</v>
      </c>
      <c r="H409" s="27" t="s">
        <v>106</v>
      </c>
      <c r="I409" s="27">
        <v>1</v>
      </c>
    </row>
    <row r="410" spans="1:9" x14ac:dyDescent="0.25">
      <c r="A410" s="27" t="s">
        <v>477</v>
      </c>
      <c r="B410" s="27" t="s">
        <v>111</v>
      </c>
      <c r="C410" s="27">
        <v>0</v>
      </c>
      <c r="D410" s="28">
        <v>43341</v>
      </c>
      <c r="E410" s="27">
        <v>8174.74</v>
      </c>
      <c r="F410" s="27" t="s">
        <v>1610</v>
      </c>
      <c r="G410" s="27" t="s">
        <v>1611</v>
      </c>
      <c r="H410" s="27" t="s">
        <v>106</v>
      </c>
      <c r="I410" s="27">
        <v>1</v>
      </c>
    </row>
    <row r="411" spans="1:9" x14ac:dyDescent="0.25">
      <c r="A411" s="27" t="s">
        <v>477</v>
      </c>
      <c r="B411" s="27" t="s">
        <v>111</v>
      </c>
      <c r="C411" s="27">
        <v>0</v>
      </c>
      <c r="D411" s="28">
        <v>43342</v>
      </c>
      <c r="E411" s="27">
        <v>-15376.48</v>
      </c>
      <c r="F411" s="27" t="s">
        <v>1612</v>
      </c>
      <c r="G411" s="27" t="s">
        <v>1613</v>
      </c>
      <c r="H411" s="27" t="s">
        <v>106</v>
      </c>
      <c r="I411" s="27">
        <v>1</v>
      </c>
    </row>
    <row r="412" spans="1:9" x14ac:dyDescent="0.25">
      <c r="A412" s="27" t="s">
        <v>477</v>
      </c>
      <c r="B412" s="27" t="s">
        <v>111</v>
      </c>
      <c r="C412" s="27">
        <v>0</v>
      </c>
      <c r="D412" s="28">
        <v>43343</v>
      </c>
      <c r="E412" s="27">
        <v>3303.41</v>
      </c>
      <c r="F412" s="27" t="s">
        <v>1614</v>
      </c>
      <c r="G412" s="27" t="s">
        <v>1615</v>
      </c>
      <c r="H412" s="27" t="s">
        <v>106</v>
      </c>
      <c r="I412" s="27">
        <v>1</v>
      </c>
    </row>
    <row r="413" spans="1:9" x14ac:dyDescent="0.25">
      <c r="A413" s="27" t="s">
        <v>477</v>
      </c>
      <c r="B413" s="27" t="s">
        <v>111</v>
      </c>
      <c r="C413" s="27">
        <v>0</v>
      </c>
      <c r="D413" s="28">
        <v>43346</v>
      </c>
      <c r="E413" s="27">
        <v>-11755.36</v>
      </c>
      <c r="F413" s="27" t="s">
        <v>1616</v>
      </c>
      <c r="G413" s="27" t="s">
        <v>1617</v>
      </c>
      <c r="H413" s="27" t="s">
        <v>106</v>
      </c>
      <c r="I413" s="27">
        <v>1</v>
      </c>
    </row>
    <row r="414" spans="1:9" x14ac:dyDescent="0.25">
      <c r="A414" s="27" t="s">
        <v>477</v>
      </c>
      <c r="B414" s="27" t="s">
        <v>111</v>
      </c>
      <c r="C414" s="27">
        <v>0</v>
      </c>
      <c r="D414" s="28">
        <v>43349</v>
      </c>
      <c r="E414" s="27">
        <v>-36985.699999999997</v>
      </c>
      <c r="F414" s="27" t="s">
        <v>1618</v>
      </c>
      <c r="G414" s="27" t="s">
        <v>1619</v>
      </c>
      <c r="H414" s="27" t="s">
        <v>106</v>
      </c>
      <c r="I414" s="27">
        <v>1</v>
      </c>
    </row>
    <row r="415" spans="1:9" x14ac:dyDescent="0.25">
      <c r="A415" s="27" t="s">
        <v>477</v>
      </c>
      <c r="B415" s="27" t="s">
        <v>111</v>
      </c>
      <c r="C415" s="27">
        <v>0</v>
      </c>
      <c r="D415" s="28">
        <v>43350</v>
      </c>
      <c r="E415" s="27">
        <v>13595.71</v>
      </c>
      <c r="F415" s="27" t="s">
        <v>1620</v>
      </c>
      <c r="G415" s="27" t="s">
        <v>1621</v>
      </c>
      <c r="H415" s="27" t="s">
        <v>106</v>
      </c>
      <c r="I415" s="27">
        <v>1</v>
      </c>
    </row>
    <row r="416" spans="1:9" x14ac:dyDescent="0.25">
      <c r="A416" s="27" t="s">
        <v>477</v>
      </c>
      <c r="B416" s="27" t="s">
        <v>111</v>
      </c>
      <c r="C416" s="27">
        <v>0</v>
      </c>
      <c r="D416" s="28">
        <v>43353</v>
      </c>
      <c r="E416" s="27">
        <v>59161.24</v>
      </c>
      <c r="F416" s="27" t="s">
        <v>1622</v>
      </c>
      <c r="G416" s="27" t="s">
        <v>1623</v>
      </c>
      <c r="H416" s="27" t="s">
        <v>106</v>
      </c>
      <c r="I416" s="27">
        <v>1</v>
      </c>
    </row>
    <row r="417" spans="1:9" x14ac:dyDescent="0.25">
      <c r="A417" s="27" t="s">
        <v>477</v>
      </c>
      <c r="B417" s="27" t="s">
        <v>111</v>
      </c>
      <c r="C417" s="27">
        <v>0</v>
      </c>
      <c r="D417" s="28">
        <v>43354</v>
      </c>
      <c r="E417" s="27">
        <v>-158011.12</v>
      </c>
      <c r="F417" s="27" t="s">
        <v>1624</v>
      </c>
      <c r="G417" s="27" t="s">
        <v>1625</v>
      </c>
      <c r="H417" s="27" t="s">
        <v>106</v>
      </c>
      <c r="I417" s="27">
        <v>1</v>
      </c>
    </row>
    <row r="418" spans="1:9" x14ac:dyDescent="0.25">
      <c r="A418" s="27" t="s">
        <v>477</v>
      </c>
      <c r="B418" s="27" t="s">
        <v>111</v>
      </c>
      <c r="C418" s="27">
        <v>0</v>
      </c>
      <c r="D418" s="28">
        <v>43355</v>
      </c>
      <c r="E418" s="27">
        <v>215170.77</v>
      </c>
      <c r="F418" s="27" t="s">
        <v>1626</v>
      </c>
      <c r="G418" s="27" t="s">
        <v>1627</v>
      </c>
      <c r="H418" s="27" t="s">
        <v>106</v>
      </c>
      <c r="I418" s="27">
        <v>1</v>
      </c>
    </row>
    <row r="419" spans="1:9" x14ac:dyDescent="0.25">
      <c r="A419" s="27" t="s">
        <v>477</v>
      </c>
      <c r="B419" s="27" t="s">
        <v>111</v>
      </c>
      <c r="C419" s="27">
        <v>0</v>
      </c>
      <c r="D419" s="28">
        <v>43360</v>
      </c>
      <c r="E419" s="27">
        <v>-87847.5</v>
      </c>
      <c r="F419" s="27" t="s">
        <v>1628</v>
      </c>
      <c r="G419" s="27" t="s">
        <v>1629</v>
      </c>
      <c r="H419" s="27" t="s">
        <v>106</v>
      </c>
      <c r="I419" s="27">
        <v>1</v>
      </c>
    </row>
    <row r="420" spans="1:9" x14ac:dyDescent="0.25">
      <c r="A420" s="27" t="s">
        <v>477</v>
      </c>
      <c r="B420" s="27" t="s">
        <v>111</v>
      </c>
      <c r="C420" s="27">
        <v>0</v>
      </c>
      <c r="D420" s="28">
        <v>43361</v>
      </c>
      <c r="E420" s="27">
        <v>-635.42999999999995</v>
      </c>
      <c r="F420" s="27" t="s">
        <v>1630</v>
      </c>
      <c r="G420" s="27" t="s">
        <v>1631</v>
      </c>
      <c r="H420" s="27" t="s">
        <v>106</v>
      </c>
      <c r="I420" s="27">
        <v>1</v>
      </c>
    </row>
    <row r="421" spans="1:9" x14ac:dyDescent="0.25">
      <c r="A421" s="27" t="s">
        <v>477</v>
      </c>
      <c r="B421" s="27" t="s">
        <v>111</v>
      </c>
      <c r="C421" s="27">
        <v>0</v>
      </c>
      <c r="D421" s="28">
        <v>43362</v>
      </c>
      <c r="E421" s="27">
        <v>-426251.78</v>
      </c>
      <c r="F421" s="27" t="s">
        <v>1632</v>
      </c>
      <c r="G421" s="27" t="s">
        <v>1633</v>
      </c>
      <c r="H421" s="27" t="s">
        <v>106</v>
      </c>
      <c r="I421" s="27">
        <v>1</v>
      </c>
    </row>
    <row r="422" spans="1:9" x14ac:dyDescent="0.25">
      <c r="A422" s="27" t="s">
        <v>477</v>
      </c>
      <c r="B422" s="27" t="s">
        <v>111</v>
      </c>
      <c r="C422" s="27">
        <v>0</v>
      </c>
      <c r="D422" s="28">
        <v>43363</v>
      </c>
      <c r="E422" s="27">
        <v>362900.71</v>
      </c>
      <c r="F422" s="27" t="s">
        <v>1634</v>
      </c>
      <c r="G422" s="27" t="s">
        <v>1635</v>
      </c>
      <c r="H422" s="27" t="s">
        <v>106</v>
      </c>
      <c r="I422" s="27">
        <v>1</v>
      </c>
    </row>
    <row r="423" spans="1:9" x14ac:dyDescent="0.25">
      <c r="A423" s="27" t="s">
        <v>477</v>
      </c>
      <c r="B423" s="27" t="s">
        <v>111</v>
      </c>
      <c r="C423" s="27">
        <v>0</v>
      </c>
      <c r="D423" s="28">
        <v>43370</v>
      </c>
      <c r="E423" s="27">
        <v>69227.960000000006</v>
      </c>
      <c r="F423" s="27" t="s">
        <v>1636</v>
      </c>
      <c r="G423" s="27" t="s">
        <v>1637</v>
      </c>
      <c r="H423" s="27" t="s">
        <v>106</v>
      </c>
      <c r="I423" s="27">
        <v>1</v>
      </c>
    </row>
    <row r="424" spans="1:9" x14ac:dyDescent="0.25">
      <c r="A424" s="27" t="s">
        <v>477</v>
      </c>
      <c r="B424" s="27" t="s">
        <v>111</v>
      </c>
      <c r="C424" s="27">
        <v>0</v>
      </c>
      <c r="D424" s="28">
        <v>43371</v>
      </c>
      <c r="E424" s="27">
        <v>91161.24</v>
      </c>
      <c r="F424" s="27" t="s">
        <v>1638</v>
      </c>
      <c r="G424" s="27" t="s">
        <v>1639</v>
      </c>
      <c r="H424" s="27" t="s">
        <v>106</v>
      </c>
      <c r="I424" s="27">
        <v>1</v>
      </c>
    </row>
    <row r="425" spans="1:9" x14ac:dyDescent="0.25">
      <c r="A425" s="27" t="s">
        <v>477</v>
      </c>
      <c r="B425" s="27" t="s">
        <v>111</v>
      </c>
      <c r="C425" s="27">
        <v>0</v>
      </c>
      <c r="D425" s="28">
        <v>43374</v>
      </c>
      <c r="E425" s="27">
        <v>1214.46</v>
      </c>
      <c r="F425" s="27" t="s">
        <v>1640</v>
      </c>
      <c r="G425" s="27" t="s">
        <v>1641</v>
      </c>
      <c r="H425" s="27" t="s">
        <v>106</v>
      </c>
      <c r="I425" s="27">
        <v>1</v>
      </c>
    </row>
    <row r="426" spans="1:9" x14ac:dyDescent="0.25">
      <c r="A426" s="27" t="s">
        <v>477</v>
      </c>
      <c r="B426" s="27" t="s">
        <v>111</v>
      </c>
      <c r="C426" s="27">
        <v>0</v>
      </c>
      <c r="D426" s="28">
        <v>43375</v>
      </c>
      <c r="E426" s="27">
        <v>-145870.54</v>
      </c>
      <c r="F426" s="27" t="s">
        <v>1642</v>
      </c>
      <c r="G426" s="27" t="s">
        <v>1643</v>
      </c>
      <c r="H426" s="27" t="s">
        <v>106</v>
      </c>
      <c r="I426" s="27">
        <v>1</v>
      </c>
    </row>
    <row r="427" spans="1:9" x14ac:dyDescent="0.25">
      <c r="A427" s="27" t="s">
        <v>477</v>
      </c>
      <c r="B427" s="27" t="s">
        <v>111</v>
      </c>
      <c r="C427" s="27">
        <v>0</v>
      </c>
      <c r="D427" s="28">
        <v>43378</v>
      </c>
      <c r="E427" s="27">
        <v>53556</v>
      </c>
      <c r="F427" s="27" t="s">
        <v>1644</v>
      </c>
      <c r="G427" s="27" t="s">
        <v>1645</v>
      </c>
      <c r="H427" s="27" t="s">
        <v>106</v>
      </c>
      <c r="I427" s="27">
        <v>1</v>
      </c>
    </row>
    <row r="428" spans="1:9" x14ac:dyDescent="0.25">
      <c r="A428" s="27" t="s">
        <v>477</v>
      </c>
      <c r="B428" s="27" t="s">
        <v>111</v>
      </c>
      <c r="C428" s="27">
        <v>0</v>
      </c>
      <c r="D428" s="28">
        <v>43381</v>
      </c>
      <c r="E428" s="27">
        <v>18047.66</v>
      </c>
      <c r="F428" s="27" t="s">
        <v>1646</v>
      </c>
      <c r="G428" s="27" t="s">
        <v>1647</v>
      </c>
      <c r="H428" s="27" t="s">
        <v>106</v>
      </c>
      <c r="I428" s="27">
        <v>1</v>
      </c>
    </row>
    <row r="429" spans="1:9" x14ac:dyDescent="0.25">
      <c r="A429" s="27" t="s">
        <v>477</v>
      </c>
      <c r="B429" s="27" t="s">
        <v>111</v>
      </c>
      <c r="C429" s="27">
        <v>0</v>
      </c>
      <c r="D429" s="28">
        <v>43382</v>
      </c>
      <c r="E429" s="27">
        <v>5640.98</v>
      </c>
      <c r="F429" s="27" t="s">
        <v>1648</v>
      </c>
      <c r="G429" s="27" t="s">
        <v>1649</v>
      </c>
      <c r="H429" s="27" t="s">
        <v>106</v>
      </c>
      <c r="I429" s="27">
        <v>1</v>
      </c>
    </row>
    <row r="430" spans="1:9" x14ac:dyDescent="0.25">
      <c r="A430" s="27" t="s">
        <v>477</v>
      </c>
      <c r="B430" s="27" t="s">
        <v>111</v>
      </c>
      <c r="C430" s="27">
        <v>0</v>
      </c>
      <c r="D430" s="28">
        <v>43383</v>
      </c>
      <c r="E430" s="27">
        <v>-15091.34</v>
      </c>
      <c r="F430" s="27" t="s">
        <v>1650</v>
      </c>
      <c r="G430" s="27" t="s">
        <v>1651</v>
      </c>
      <c r="H430" s="27" t="s">
        <v>106</v>
      </c>
      <c r="I430" s="27">
        <v>1</v>
      </c>
    </row>
    <row r="431" spans="1:9" x14ac:dyDescent="0.25">
      <c r="A431" s="27" t="s">
        <v>477</v>
      </c>
      <c r="B431" s="27" t="s">
        <v>111</v>
      </c>
      <c r="C431" s="27">
        <v>0</v>
      </c>
      <c r="D431" s="28">
        <v>43384</v>
      </c>
      <c r="E431" s="27">
        <v>-556</v>
      </c>
      <c r="F431" s="27" t="s">
        <v>1652</v>
      </c>
      <c r="G431" s="27" t="s">
        <v>1653</v>
      </c>
      <c r="H431" s="27" t="s">
        <v>106</v>
      </c>
      <c r="I431" s="27">
        <v>1</v>
      </c>
    </row>
    <row r="432" spans="1:9" x14ac:dyDescent="0.25">
      <c r="A432" s="27" t="s">
        <v>477</v>
      </c>
      <c r="B432" s="27" t="s">
        <v>111</v>
      </c>
      <c r="C432" s="27">
        <v>0</v>
      </c>
      <c r="D432" s="28">
        <v>43389</v>
      </c>
      <c r="E432" s="27">
        <v>-10235.1</v>
      </c>
      <c r="F432" s="27" t="s">
        <v>1654</v>
      </c>
      <c r="G432" s="27" t="s">
        <v>1655</v>
      </c>
      <c r="H432" s="27" t="s">
        <v>106</v>
      </c>
      <c r="I432" s="27">
        <v>1</v>
      </c>
    </row>
    <row r="433" spans="1:9" x14ac:dyDescent="0.25">
      <c r="A433" s="27" t="s">
        <v>477</v>
      </c>
      <c r="B433" s="27" t="s">
        <v>111</v>
      </c>
      <c r="C433" s="27">
        <v>0</v>
      </c>
      <c r="D433" s="28">
        <v>43390</v>
      </c>
      <c r="E433" s="27">
        <v>-57028.6</v>
      </c>
      <c r="F433" s="27" t="s">
        <v>1656</v>
      </c>
      <c r="G433" s="27" t="s">
        <v>1657</v>
      </c>
      <c r="H433" s="27" t="s">
        <v>106</v>
      </c>
      <c r="I433" s="27">
        <v>1</v>
      </c>
    </row>
    <row r="434" spans="1:9" x14ac:dyDescent="0.25">
      <c r="A434" s="27" t="s">
        <v>477</v>
      </c>
      <c r="B434" s="27" t="s">
        <v>111</v>
      </c>
      <c r="C434" s="27">
        <v>0</v>
      </c>
      <c r="D434" s="28">
        <v>43391</v>
      </c>
      <c r="E434" s="27">
        <v>76639.399999999994</v>
      </c>
      <c r="F434" s="27" t="s">
        <v>1658</v>
      </c>
      <c r="G434" s="27" t="s">
        <v>1659</v>
      </c>
      <c r="H434" s="27" t="s">
        <v>106</v>
      </c>
      <c r="I434" s="27">
        <v>1</v>
      </c>
    </row>
    <row r="435" spans="1:9" x14ac:dyDescent="0.25">
      <c r="A435" s="27" t="s">
        <v>477</v>
      </c>
      <c r="B435" s="27" t="s">
        <v>111</v>
      </c>
      <c r="C435" s="27">
        <v>0</v>
      </c>
      <c r="D435" s="28">
        <v>43392</v>
      </c>
      <c r="E435" s="27">
        <v>-59291.5</v>
      </c>
      <c r="F435" s="27" t="s">
        <v>1660</v>
      </c>
      <c r="G435" s="27" t="s">
        <v>1661</v>
      </c>
      <c r="H435" s="27" t="s">
        <v>106</v>
      </c>
      <c r="I435" s="27">
        <v>1</v>
      </c>
    </row>
    <row r="436" spans="1:9" x14ac:dyDescent="0.25">
      <c r="A436" s="27" t="s">
        <v>477</v>
      </c>
      <c r="B436" s="27" t="s">
        <v>111</v>
      </c>
      <c r="C436" s="27">
        <v>0</v>
      </c>
      <c r="D436" s="28">
        <v>43395</v>
      </c>
      <c r="E436" s="27">
        <v>-6716.45</v>
      </c>
      <c r="F436" s="27" t="s">
        <v>1662</v>
      </c>
      <c r="G436" s="27" t="s">
        <v>1663</v>
      </c>
      <c r="H436" s="27" t="s">
        <v>106</v>
      </c>
      <c r="I436" s="27">
        <v>1</v>
      </c>
    </row>
    <row r="437" spans="1:9" x14ac:dyDescent="0.25">
      <c r="A437" s="27" t="s">
        <v>477</v>
      </c>
      <c r="B437" s="27" t="s">
        <v>111</v>
      </c>
      <c r="C437" s="27">
        <v>0</v>
      </c>
      <c r="D437" s="28">
        <v>43398</v>
      </c>
      <c r="E437" s="27">
        <v>74616.37</v>
      </c>
      <c r="F437" s="27" t="s">
        <v>1664</v>
      </c>
      <c r="G437" s="27" t="s">
        <v>1665</v>
      </c>
      <c r="H437" s="27" t="s">
        <v>106</v>
      </c>
      <c r="I437" s="27">
        <v>1</v>
      </c>
    </row>
    <row r="438" spans="1:9" x14ac:dyDescent="0.25">
      <c r="A438" s="27" t="s">
        <v>477</v>
      </c>
      <c r="B438" s="27" t="s">
        <v>111</v>
      </c>
      <c r="C438" s="27">
        <v>0</v>
      </c>
      <c r="D438" s="28">
        <v>43399</v>
      </c>
      <c r="E438" s="27">
        <v>-57698.18</v>
      </c>
      <c r="F438" s="27" t="s">
        <v>1666</v>
      </c>
      <c r="G438" s="27" t="s">
        <v>1667</v>
      </c>
      <c r="H438" s="27" t="s">
        <v>106</v>
      </c>
      <c r="I438" s="27">
        <v>1</v>
      </c>
    </row>
    <row r="439" spans="1:9" x14ac:dyDescent="0.25">
      <c r="A439" s="27" t="s">
        <v>477</v>
      </c>
      <c r="B439" s="27" t="s">
        <v>111</v>
      </c>
      <c r="C439" s="27">
        <v>0</v>
      </c>
      <c r="D439" s="28">
        <v>43402</v>
      </c>
      <c r="E439" s="27">
        <v>14376.49</v>
      </c>
      <c r="F439" s="27" t="s">
        <v>1668</v>
      </c>
      <c r="G439" s="27" t="s">
        <v>1669</v>
      </c>
      <c r="H439" s="27" t="s">
        <v>106</v>
      </c>
      <c r="I439" s="27">
        <v>1</v>
      </c>
    </row>
    <row r="440" spans="1:9" x14ac:dyDescent="0.25">
      <c r="A440" s="27" t="s">
        <v>477</v>
      </c>
      <c r="B440" s="27" t="s">
        <v>111</v>
      </c>
      <c r="C440" s="27">
        <v>0</v>
      </c>
      <c r="D440" s="28">
        <v>43404</v>
      </c>
      <c r="E440" s="27">
        <v>-414535.34</v>
      </c>
      <c r="F440" s="27" t="s">
        <v>1670</v>
      </c>
      <c r="G440" s="27" t="s">
        <v>1671</v>
      </c>
      <c r="H440" s="27" t="s">
        <v>106</v>
      </c>
      <c r="I440" s="27">
        <v>1</v>
      </c>
    </row>
    <row r="441" spans="1:9" x14ac:dyDescent="0.25">
      <c r="A441" s="27" t="s">
        <v>480</v>
      </c>
      <c r="B441" s="27" t="s">
        <v>111</v>
      </c>
      <c r="C441" s="27">
        <v>0</v>
      </c>
      <c r="D441" s="28">
        <v>43244</v>
      </c>
      <c r="E441" s="27">
        <v>-5083.3999999999996</v>
      </c>
      <c r="F441" s="27" t="s">
        <v>1672</v>
      </c>
      <c r="G441" s="27" t="s">
        <v>1673</v>
      </c>
      <c r="H441" s="27" t="s">
        <v>106</v>
      </c>
      <c r="I441" s="27">
        <v>3</v>
      </c>
    </row>
    <row r="442" spans="1:9" x14ac:dyDescent="0.25">
      <c r="A442" s="27" t="s">
        <v>480</v>
      </c>
      <c r="B442" s="27" t="s">
        <v>111</v>
      </c>
      <c r="C442" s="27">
        <v>0</v>
      </c>
      <c r="D442" s="28">
        <v>43255</v>
      </c>
      <c r="E442" s="27">
        <v>714.85</v>
      </c>
      <c r="F442" s="27" t="s">
        <v>1674</v>
      </c>
      <c r="G442" s="27" t="s">
        <v>1675</v>
      </c>
      <c r="H442" s="27" t="s">
        <v>106</v>
      </c>
      <c r="I442" s="27">
        <v>3</v>
      </c>
    </row>
    <row r="443" spans="1:9" x14ac:dyDescent="0.25">
      <c r="A443" s="27" t="s">
        <v>480</v>
      </c>
      <c r="B443" s="27" t="s">
        <v>111</v>
      </c>
      <c r="C443" s="27">
        <v>0</v>
      </c>
      <c r="D443" s="28">
        <v>43256</v>
      </c>
      <c r="E443" s="27">
        <v>-2779.98</v>
      </c>
      <c r="F443" s="27" t="s">
        <v>1676</v>
      </c>
      <c r="G443" s="27" t="s">
        <v>1677</v>
      </c>
      <c r="H443" s="27" t="s">
        <v>106</v>
      </c>
      <c r="I443" s="27">
        <v>3</v>
      </c>
    </row>
    <row r="444" spans="1:9" x14ac:dyDescent="0.25">
      <c r="A444" s="27" t="s">
        <v>480</v>
      </c>
      <c r="B444" s="27" t="s">
        <v>111</v>
      </c>
      <c r="C444" s="27">
        <v>0</v>
      </c>
      <c r="D444" s="28">
        <v>43257</v>
      </c>
      <c r="E444" s="27">
        <v>635.41999999999996</v>
      </c>
      <c r="F444" s="27" t="s">
        <v>1678</v>
      </c>
      <c r="G444" s="27" t="s">
        <v>1679</v>
      </c>
      <c r="H444" s="27" t="s">
        <v>106</v>
      </c>
      <c r="I444" s="27">
        <v>3</v>
      </c>
    </row>
    <row r="445" spans="1:9" x14ac:dyDescent="0.25">
      <c r="A445" s="27" t="s">
        <v>480</v>
      </c>
      <c r="B445" s="27" t="s">
        <v>111</v>
      </c>
      <c r="C445" s="27">
        <v>0</v>
      </c>
      <c r="D445" s="28">
        <v>43262</v>
      </c>
      <c r="E445" s="27">
        <v>-2700.55</v>
      </c>
      <c r="F445" s="27" t="s">
        <v>1680</v>
      </c>
      <c r="G445" s="27" t="s">
        <v>1681</v>
      </c>
      <c r="H445" s="27" t="s">
        <v>106</v>
      </c>
      <c r="I445" s="27">
        <v>1</v>
      </c>
    </row>
    <row r="446" spans="1:9" x14ac:dyDescent="0.25">
      <c r="A446" s="27" t="s">
        <v>480</v>
      </c>
      <c r="B446" s="27" t="s">
        <v>111</v>
      </c>
      <c r="C446" s="27">
        <v>0</v>
      </c>
      <c r="D446" s="28">
        <v>43263</v>
      </c>
      <c r="E446" s="27">
        <v>-1112</v>
      </c>
      <c r="F446" s="27" t="s">
        <v>1682</v>
      </c>
      <c r="G446" s="27" t="s">
        <v>1683</v>
      </c>
      <c r="H446" s="27" t="s">
        <v>106</v>
      </c>
      <c r="I446" s="27">
        <v>1</v>
      </c>
    </row>
    <row r="447" spans="1:9" x14ac:dyDescent="0.25">
      <c r="A447" s="27" t="s">
        <v>480</v>
      </c>
      <c r="B447" s="27" t="s">
        <v>111</v>
      </c>
      <c r="C447" s="27">
        <v>0</v>
      </c>
      <c r="D447" s="28">
        <v>43263</v>
      </c>
      <c r="E447" s="27">
        <v>3018.27</v>
      </c>
      <c r="F447" s="27" t="s">
        <v>1684</v>
      </c>
      <c r="G447" s="27" t="s">
        <v>1685</v>
      </c>
      <c r="H447" s="27" t="s">
        <v>106</v>
      </c>
      <c r="I447" s="27">
        <v>3</v>
      </c>
    </row>
    <row r="448" spans="1:9" x14ac:dyDescent="0.25">
      <c r="A448" s="27" t="s">
        <v>480</v>
      </c>
      <c r="B448" s="27" t="s">
        <v>111</v>
      </c>
      <c r="C448" s="27">
        <v>0</v>
      </c>
      <c r="D448" s="28">
        <v>43266</v>
      </c>
      <c r="E448" s="27">
        <v>3018.27</v>
      </c>
      <c r="F448" s="27" t="s">
        <v>1686</v>
      </c>
      <c r="G448" s="27" t="s">
        <v>1687</v>
      </c>
      <c r="H448" s="27" t="s">
        <v>106</v>
      </c>
      <c r="I448" s="27">
        <v>3</v>
      </c>
    </row>
    <row r="449" spans="1:9" x14ac:dyDescent="0.25">
      <c r="A449" s="27" t="s">
        <v>480</v>
      </c>
      <c r="B449" s="27" t="s">
        <v>111</v>
      </c>
      <c r="C449" s="27">
        <v>0</v>
      </c>
      <c r="D449" s="28">
        <v>43273</v>
      </c>
      <c r="E449" s="27">
        <v>-5242.25</v>
      </c>
      <c r="F449" s="27" t="s">
        <v>1688</v>
      </c>
      <c r="G449" s="27" t="s">
        <v>1689</v>
      </c>
      <c r="H449" s="27" t="s">
        <v>106</v>
      </c>
      <c r="I449" s="27">
        <v>3</v>
      </c>
    </row>
    <row r="450" spans="1:9" x14ac:dyDescent="0.25">
      <c r="A450" s="27" t="s">
        <v>480</v>
      </c>
      <c r="B450" s="27" t="s">
        <v>111</v>
      </c>
      <c r="C450" s="27">
        <v>0</v>
      </c>
      <c r="D450" s="28">
        <v>43276</v>
      </c>
      <c r="E450" s="27">
        <v>-794.29</v>
      </c>
      <c r="F450" s="27" t="s">
        <v>1690</v>
      </c>
      <c r="G450" s="27" t="s">
        <v>1691</v>
      </c>
      <c r="H450" s="27" t="s">
        <v>106</v>
      </c>
      <c r="I450" s="27">
        <v>1</v>
      </c>
    </row>
    <row r="451" spans="1:9" x14ac:dyDescent="0.25">
      <c r="A451" s="27" t="s">
        <v>480</v>
      </c>
      <c r="B451" s="27" t="s">
        <v>111</v>
      </c>
      <c r="C451" s="27">
        <v>0</v>
      </c>
      <c r="D451" s="28">
        <v>43276</v>
      </c>
      <c r="E451" s="27">
        <v>-3971.4</v>
      </c>
      <c r="F451" s="27" t="s">
        <v>1692</v>
      </c>
      <c r="G451" s="27" t="s">
        <v>1693</v>
      </c>
      <c r="H451" s="27" t="s">
        <v>106</v>
      </c>
      <c r="I451" s="27">
        <v>2</v>
      </c>
    </row>
    <row r="452" spans="1:9" x14ac:dyDescent="0.25">
      <c r="A452" s="27" t="s">
        <v>480</v>
      </c>
      <c r="B452" s="27" t="s">
        <v>111</v>
      </c>
      <c r="C452" s="27">
        <v>0</v>
      </c>
      <c r="D452" s="28">
        <v>43276</v>
      </c>
      <c r="E452" s="27">
        <v>-4527.3999999999996</v>
      </c>
      <c r="F452" s="27" t="s">
        <v>1694</v>
      </c>
      <c r="G452" s="27" t="s">
        <v>1695</v>
      </c>
      <c r="H452" s="27" t="s">
        <v>106</v>
      </c>
      <c r="I452" s="27">
        <v>3</v>
      </c>
    </row>
    <row r="453" spans="1:9" x14ac:dyDescent="0.25">
      <c r="A453" s="27" t="s">
        <v>480</v>
      </c>
      <c r="B453" s="27" t="s">
        <v>111</v>
      </c>
      <c r="C453" s="27">
        <v>0</v>
      </c>
      <c r="D453" s="28">
        <v>43277</v>
      </c>
      <c r="E453" s="27">
        <v>14058.77</v>
      </c>
      <c r="F453" s="27" t="s">
        <v>1696</v>
      </c>
      <c r="G453" s="27" t="s">
        <v>1697</v>
      </c>
      <c r="H453" s="27" t="s">
        <v>106</v>
      </c>
      <c r="I453" s="27">
        <v>3</v>
      </c>
    </row>
    <row r="454" spans="1:9" x14ac:dyDescent="0.25">
      <c r="A454" s="27" t="s">
        <v>480</v>
      </c>
      <c r="B454" s="27" t="s">
        <v>111</v>
      </c>
      <c r="C454" s="27">
        <v>0</v>
      </c>
      <c r="D454" s="28">
        <v>43297</v>
      </c>
      <c r="E454" s="27">
        <v>-4765.68</v>
      </c>
      <c r="F454" s="27" t="s">
        <v>1698</v>
      </c>
      <c r="G454" s="27" t="s">
        <v>1699</v>
      </c>
      <c r="H454" s="27" t="s">
        <v>106</v>
      </c>
      <c r="I454" s="27">
        <v>1</v>
      </c>
    </row>
    <row r="455" spans="1:9" x14ac:dyDescent="0.25">
      <c r="A455" s="27" t="s">
        <v>480</v>
      </c>
      <c r="B455" s="27" t="s">
        <v>111</v>
      </c>
      <c r="C455" s="27">
        <v>0</v>
      </c>
      <c r="D455" s="28">
        <v>43297</v>
      </c>
      <c r="E455" s="27">
        <v>4686.25</v>
      </c>
      <c r="F455" s="27" t="s">
        <v>1700</v>
      </c>
      <c r="G455" s="27" t="s">
        <v>1701</v>
      </c>
      <c r="H455" s="27" t="s">
        <v>106</v>
      </c>
      <c r="I455" s="27">
        <v>3</v>
      </c>
    </row>
    <row r="456" spans="1:9" x14ac:dyDescent="0.25">
      <c r="A456" s="27" t="s">
        <v>480</v>
      </c>
      <c r="B456" s="27" t="s">
        <v>111</v>
      </c>
      <c r="C456" s="27">
        <v>0</v>
      </c>
      <c r="D456" s="28">
        <v>43301</v>
      </c>
      <c r="E456" s="27">
        <v>635.42999999999995</v>
      </c>
      <c r="F456" s="27" t="s">
        <v>1702</v>
      </c>
      <c r="G456" s="27" t="s">
        <v>1703</v>
      </c>
      <c r="H456" s="27" t="s">
        <v>106</v>
      </c>
      <c r="I456" s="27">
        <v>2</v>
      </c>
    </row>
    <row r="457" spans="1:9" x14ac:dyDescent="0.25">
      <c r="A457" s="27" t="s">
        <v>480</v>
      </c>
      <c r="B457" s="27" t="s">
        <v>111</v>
      </c>
      <c r="C457" s="27">
        <v>0</v>
      </c>
      <c r="D457" s="28">
        <v>43301</v>
      </c>
      <c r="E457" s="27">
        <v>-7942.81</v>
      </c>
      <c r="F457" s="27" t="s">
        <v>1704</v>
      </c>
      <c r="G457" s="27" t="s">
        <v>1705</v>
      </c>
      <c r="H457" s="27" t="s">
        <v>106</v>
      </c>
      <c r="I457" s="27">
        <v>3</v>
      </c>
    </row>
    <row r="458" spans="1:9" x14ac:dyDescent="0.25">
      <c r="A458" s="27" t="s">
        <v>480</v>
      </c>
      <c r="B458" s="27" t="s">
        <v>111</v>
      </c>
      <c r="C458" s="27">
        <v>0</v>
      </c>
      <c r="D458" s="28">
        <v>43306</v>
      </c>
      <c r="E458" s="27">
        <v>-556</v>
      </c>
      <c r="F458" s="27" t="s">
        <v>1706</v>
      </c>
      <c r="G458" s="27" t="s">
        <v>1707</v>
      </c>
      <c r="H458" s="27" t="s">
        <v>106</v>
      </c>
      <c r="I458" s="27">
        <v>1</v>
      </c>
    </row>
    <row r="459" spans="1:9" x14ac:dyDescent="0.25">
      <c r="A459" s="27" t="s">
        <v>480</v>
      </c>
      <c r="B459" s="27" t="s">
        <v>111</v>
      </c>
      <c r="C459" s="27">
        <v>0</v>
      </c>
      <c r="D459" s="28">
        <v>43306</v>
      </c>
      <c r="E459" s="27">
        <v>2462.27</v>
      </c>
      <c r="F459" s="27" t="s">
        <v>1708</v>
      </c>
      <c r="G459" s="27" t="s">
        <v>1709</v>
      </c>
      <c r="H459" s="27" t="s">
        <v>106</v>
      </c>
      <c r="I459" s="27">
        <v>2</v>
      </c>
    </row>
    <row r="460" spans="1:9" x14ac:dyDescent="0.25">
      <c r="A460" s="27" t="s">
        <v>480</v>
      </c>
      <c r="B460" s="27" t="s">
        <v>111</v>
      </c>
      <c r="C460" s="27">
        <v>0</v>
      </c>
      <c r="D460" s="28">
        <v>43306</v>
      </c>
      <c r="E460" s="27">
        <v>-79.430000000000007</v>
      </c>
      <c r="F460" s="27" t="s">
        <v>1710</v>
      </c>
      <c r="G460" s="27" t="s">
        <v>1711</v>
      </c>
      <c r="H460" s="27" t="s">
        <v>106</v>
      </c>
      <c r="I460" s="27">
        <v>3</v>
      </c>
    </row>
    <row r="461" spans="1:9" x14ac:dyDescent="0.25">
      <c r="A461" s="27" t="s">
        <v>480</v>
      </c>
      <c r="B461" s="27" t="s">
        <v>111</v>
      </c>
      <c r="C461" s="27">
        <v>0</v>
      </c>
      <c r="D461" s="28">
        <v>43313</v>
      </c>
      <c r="E461" s="27">
        <v>6195.4</v>
      </c>
      <c r="F461" s="27" t="s">
        <v>1712</v>
      </c>
      <c r="G461" s="27" t="s">
        <v>1713</v>
      </c>
      <c r="H461" s="27" t="s">
        <v>106</v>
      </c>
      <c r="I461" s="27">
        <v>3</v>
      </c>
    </row>
    <row r="462" spans="1:9" x14ac:dyDescent="0.25">
      <c r="A462" s="27" t="s">
        <v>480</v>
      </c>
      <c r="B462" s="27" t="s">
        <v>111</v>
      </c>
      <c r="C462" s="27">
        <v>0</v>
      </c>
      <c r="D462" s="28">
        <v>43314</v>
      </c>
      <c r="E462" s="27">
        <v>-10246.23</v>
      </c>
      <c r="F462" s="27" t="s">
        <v>1714</v>
      </c>
      <c r="G462" s="27" t="s">
        <v>1715</v>
      </c>
      <c r="H462" s="27" t="s">
        <v>106</v>
      </c>
      <c r="I462" s="27">
        <v>3</v>
      </c>
    </row>
    <row r="463" spans="1:9" x14ac:dyDescent="0.25">
      <c r="A463" s="27" t="s">
        <v>480</v>
      </c>
      <c r="B463" s="27" t="s">
        <v>111</v>
      </c>
      <c r="C463" s="27">
        <v>0</v>
      </c>
      <c r="D463" s="28">
        <v>43315</v>
      </c>
      <c r="E463" s="27">
        <v>6036.54</v>
      </c>
      <c r="F463" s="27" t="s">
        <v>1716</v>
      </c>
      <c r="G463" s="27" t="s">
        <v>1717</v>
      </c>
      <c r="H463" s="27" t="s">
        <v>106</v>
      </c>
      <c r="I463" s="27">
        <v>3</v>
      </c>
    </row>
    <row r="464" spans="1:9" x14ac:dyDescent="0.25">
      <c r="A464" s="27" t="s">
        <v>480</v>
      </c>
      <c r="B464" s="27" t="s">
        <v>111</v>
      </c>
      <c r="C464" s="27">
        <v>0</v>
      </c>
      <c r="D464" s="28">
        <v>43334</v>
      </c>
      <c r="E464" s="27">
        <v>2779.98</v>
      </c>
      <c r="F464" s="27" t="s">
        <v>1718</v>
      </c>
      <c r="G464" s="27" t="s">
        <v>1719</v>
      </c>
      <c r="H464" s="27" t="s">
        <v>106</v>
      </c>
      <c r="I464" s="27">
        <v>3</v>
      </c>
    </row>
    <row r="465" spans="1:9" x14ac:dyDescent="0.25">
      <c r="A465" s="27" t="s">
        <v>480</v>
      </c>
      <c r="B465" s="27" t="s">
        <v>111</v>
      </c>
      <c r="C465" s="27">
        <v>0</v>
      </c>
      <c r="D465" s="28">
        <v>43335</v>
      </c>
      <c r="E465" s="27">
        <v>-3971.4</v>
      </c>
      <c r="F465" s="27" t="s">
        <v>1720</v>
      </c>
      <c r="G465" s="27" t="s">
        <v>1721</v>
      </c>
      <c r="H465" s="27" t="s">
        <v>106</v>
      </c>
      <c r="I465" s="27">
        <v>1</v>
      </c>
    </row>
    <row r="466" spans="1:9" x14ac:dyDescent="0.25">
      <c r="A466" s="27" t="s">
        <v>480</v>
      </c>
      <c r="B466" s="27" t="s">
        <v>111</v>
      </c>
      <c r="C466" s="27">
        <v>0</v>
      </c>
      <c r="D466" s="28">
        <v>43340</v>
      </c>
      <c r="E466" s="27">
        <v>-1747.42</v>
      </c>
      <c r="F466" s="27" t="s">
        <v>1722</v>
      </c>
      <c r="G466" s="27" t="s">
        <v>1723</v>
      </c>
      <c r="H466" s="27" t="s">
        <v>106</v>
      </c>
      <c r="I466" s="27">
        <v>2</v>
      </c>
    </row>
    <row r="467" spans="1:9" x14ac:dyDescent="0.25">
      <c r="A467" s="27" t="s">
        <v>480</v>
      </c>
      <c r="B467" s="27" t="s">
        <v>111</v>
      </c>
      <c r="C467" s="27">
        <v>0</v>
      </c>
      <c r="D467" s="28">
        <v>43340</v>
      </c>
      <c r="E467" s="27">
        <v>-79.430000000000007</v>
      </c>
      <c r="F467" s="27" t="s">
        <v>1724</v>
      </c>
      <c r="G467" s="27" t="s">
        <v>1725</v>
      </c>
      <c r="H467" s="27" t="s">
        <v>106</v>
      </c>
      <c r="I467" s="27">
        <v>3</v>
      </c>
    </row>
    <row r="468" spans="1:9" x14ac:dyDescent="0.25">
      <c r="A468" s="27" t="s">
        <v>480</v>
      </c>
      <c r="B468" s="27" t="s">
        <v>111</v>
      </c>
      <c r="C468" s="27">
        <v>0</v>
      </c>
      <c r="D468" s="28">
        <v>43343</v>
      </c>
      <c r="E468" s="27">
        <v>-4527.3999999999996</v>
      </c>
      <c r="F468" s="27" t="s">
        <v>1726</v>
      </c>
      <c r="G468" s="27" t="s">
        <v>1727</v>
      </c>
      <c r="H468" s="27" t="s">
        <v>106</v>
      </c>
      <c r="I468" s="27">
        <v>1</v>
      </c>
    </row>
    <row r="469" spans="1:9" x14ac:dyDescent="0.25">
      <c r="A469" s="27" t="s">
        <v>480</v>
      </c>
      <c r="B469" s="27" t="s">
        <v>111</v>
      </c>
      <c r="C469" s="27">
        <v>0</v>
      </c>
      <c r="D469" s="28">
        <v>43343</v>
      </c>
      <c r="E469" s="27">
        <v>-1826.85</v>
      </c>
      <c r="F469" s="27" t="s">
        <v>1728</v>
      </c>
      <c r="G469" s="27" t="s">
        <v>1729</v>
      </c>
      <c r="H469" s="27" t="s">
        <v>106</v>
      </c>
      <c r="I469" s="27">
        <v>3</v>
      </c>
    </row>
    <row r="470" spans="1:9" x14ac:dyDescent="0.25">
      <c r="A470" s="27" t="s">
        <v>480</v>
      </c>
      <c r="B470" s="27" t="s">
        <v>111</v>
      </c>
      <c r="C470" s="27">
        <v>0</v>
      </c>
      <c r="D470" s="28">
        <v>43346</v>
      </c>
      <c r="E470" s="27">
        <v>9769.66</v>
      </c>
      <c r="F470" s="27" t="s">
        <v>1730</v>
      </c>
      <c r="G470" s="27" t="s">
        <v>1731</v>
      </c>
      <c r="H470" s="27" t="s">
        <v>106</v>
      </c>
      <c r="I470" s="27">
        <v>3</v>
      </c>
    </row>
    <row r="471" spans="1:9" x14ac:dyDescent="0.25">
      <c r="A471" s="27" t="s">
        <v>480</v>
      </c>
      <c r="B471" s="27" t="s">
        <v>111</v>
      </c>
      <c r="C471" s="27">
        <v>0</v>
      </c>
      <c r="D471" s="28">
        <v>43350</v>
      </c>
      <c r="E471" s="27">
        <v>2382.84</v>
      </c>
      <c r="F471" s="27" t="s">
        <v>1732</v>
      </c>
      <c r="G471" s="27" t="s">
        <v>1733</v>
      </c>
      <c r="H471" s="27" t="s">
        <v>106</v>
      </c>
      <c r="I471" s="27">
        <v>2</v>
      </c>
    </row>
    <row r="472" spans="1:9" x14ac:dyDescent="0.25">
      <c r="A472" s="27" t="s">
        <v>480</v>
      </c>
      <c r="B472" s="27" t="s">
        <v>111</v>
      </c>
      <c r="C472" s="27">
        <v>0</v>
      </c>
      <c r="D472" s="28">
        <v>43350</v>
      </c>
      <c r="E472" s="27">
        <v>-79.430000000000007</v>
      </c>
      <c r="F472" s="27" t="s">
        <v>1734</v>
      </c>
      <c r="G472" s="27" t="s">
        <v>1735</v>
      </c>
      <c r="H472" s="27" t="s">
        <v>106</v>
      </c>
      <c r="I472" s="27">
        <v>3</v>
      </c>
    </row>
    <row r="473" spans="1:9" x14ac:dyDescent="0.25">
      <c r="A473" s="27" t="s">
        <v>480</v>
      </c>
      <c r="B473" s="27" t="s">
        <v>111</v>
      </c>
      <c r="C473" s="27">
        <v>0</v>
      </c>
      <c r="D473" s="28">
        <v>43353</v>
      </c>
      <c r="E473" s="27">
        <v>1112</v>
      </c>
      <c r="F473" s="27" t="s">
        <v>1736</v>
      </c>
      <c r="G473" s="27" t="s">
        <v>1737</v>
      </c>
      <c r="H473" s="27" t="s">
        <v>106</v>
      </c>
      <c r="I473" s="27">
        <v>3</v>
      </c>
    </row>
    <row r="474" spans="1:9" x14ac:dyDescent="0.25">
      <c r="A474" s="27" t="s">
        <v>480</v>
      </c>
      <c r="B474" s="27" t="s">
        <v>111</v>
      </c>
      <c r="C474" s="27">
        <v>0</v>
      </c>
      <c r="D474" s="28">
        <v>43360</v>
      </c>
      <c r="E474" s="27">
        <v>-3415.41</v>
      </c>
      <c r="F474" s="27" t="s">
        <v>1738</v>
      </c>
      <c r="G474" s="27" t="s">
        <v>1739</v>
      </c>
      <c r="H474" s="27" t="s">
        <v>106</v>
      </c>
      <c r="I474" s="27">
        <v>1</v>
      </c>
    </row>
    <row r="475" spans="1:9" x14ac:dyDescent="0.25">
      <c r="A475" s="27" t="s">
        <v>480</v>
      </c>
      <c r="B475" s="27" t="s">
        <v>111</v>
      </c>
      <c r="C475" s="27">
        <v>0</v>
      </c>
      <c r="D475" s="28">
        <v>43360</v>
      </c>
      <c r="E475" s="27">
        <v>-9451.9500000000007</v>
      </c>
      <c r="F475" s="27" t="s">
        <v>1740</v>
      </c>
      <c r="G475" s="27" t="s">
        <v>1741</v>
      </c>
      <c r="H475" s="27" t="s">
        <v>106</v>
      </c>
      <c r="I475" s="27">
        <v>3</v>
      </c>
    </row>
    <row r="476" spans="1:9" x14ac:dyDescent="0.25">
      <c r="A476" s="27" t="s">
        <v>480</v>
      </c>
      <c r="B476" s="27" t="s">
        <v>111</v>
      </c>
      <c r="C476" s="27">
        <v>0</v>
      </c>
      <c r="D476" s="28">
        <v>43361</v>
      </c>
      <c r="E476" s="27">
        <v>13423.35</v>
      </c>
      <c r="F476" s="27" t="s">
        <v>1742</v>
      </c>
      <c r="G476" s="27" t="s">
        <v>1743</v>
      </c>
      <c r="H476" s="27" t="s">
        <v>106</v>
      </c>
      <c r="I476" s="27">
        <v>3</v>
      </c>
    </row>
    <row r="477" spans="1:9" x14ac:dyDescent="0.25">
      <c r="A477" s="27" t="s">
        <v>480</v>
      </c>
      <c r="B477" s="27" t="s">
        <v>111</v>
      </c>
      <c r="C477" s="27">
        <v>0</v>
      </c>
      <c r="D477" s="28">
        <v>43382</v>
      </c>
      <c r="E477" s="27">
        <v>-158.85</v>
      </c>
      <c r="F477" s="27" t="s">
        <v>1744</v>
      </c>
      <c r="G477" s="27" t="s">
        <v>1745</v>
      </c>
      <c r="H477" s="27" t="s">
        <v>106</v>
      </c>
      <c r="I477" s="27">
        <v>3</v>
      </c>
    </row>
    <row r="478" spans="1:9" x14ac:dyDescent="0.25">
      <c r="A478" s="27" t="s">
        <v>480</v>
      </c>
      <c r="B478" s="27" t="s">
        <v>111</v>
      </c>
      <c r="C478" s="27">
        <v>0</v>
      </c>
      <c r="D478" s="28">
        <v>43383</v>
      </c>
      <c r="E478" s="27">
        <v>-1429.71</v>
      </c>
      <c r="F478" s="27" t="s">
        <v>1746</v>
      </c>
      <c r="G478" s="27" t="s">
        <v>1747</v>
      </c>
      <c r="H478" s="27" t="s">
        <v>106</v>
      </c>
      <c r="I478" s="27">
        <v>3</v>
      </c>
    </row>
    <row r="479" spans="1:9" x14ac:dyDescent="0.25">
      <c r="A479" s="27" t="s">
        <v>480</v>
      </c>
      <c r="B479" s="27" t="s">
        <v>111</v>
      </c>
      <c r="C479" s="27">
        <v>0</v>
      </c>
      <c r="D479" s="28">
        <v>43384</v>
      </c>
      <c r="E479" s="27">
        <v>-3971.4</v>
      </c>
      <c r="F479" s="27" t="s">
        <v>1748</v>
      </c>
      <c r="G479" s="27" t="s">
        <v>1749</v>
      </c>
      <c r="H479" s="27" t="s">
        <v>106</v>
      </c>
      <c r="I479" s="27">
        <v>1</v>
      </c>
    </row>
    <row r="480" spans="1:9" x14ac:dyDescent="0.25">
      <c r="A480" s="27" t="s">
        <v>480</v>
      </c>
      <c r="B480" s="27" t="s">
        <v>111</v>
      </c>
      <c r="C480" s="27">
        <v>0</v>
      </c>
      <c r="D480" s="28">
        <v>43384</v>
      </c>
      <c r="E480" s="27">
        <v>-1667.99</v>
      </c>
      <c r="F480" s="27" t="s">
        <v>1750</v>
      </c>
      <c r="G480" s="27" t="s">
        <v>1751</v>
      </c>
      <c r="H480" s="27" t="s">
        <v>106</v>
      </c>
      <c r="I480" s="27">
        <v>3</v>
      </c>
    </row>
    <row r="481" spans="1:9" x14ac:dyDescent="0.25">
      <c r="A481" s="27" t="s">
        <v>480</v>
      </c>
      <c r="B481" s="27" t="s">
        <v>111</v>
      </c>
      <c r="C481" s="27">
        <v>0</v>
      </c>
      <c r="D481" s="28">
        <v>43389</v>
      </c>
      <c r="E481" s="27">
        <v>3256.55</v>
      </c>
      <c r="F481" s="27" t="s">
        <v>1752</v>
      </c>
      <c r="G481" s="27" t="s">
        <v>1753</v>
      </c>
      <c r="H481" s="27" t="s">
        <v>106</v>
      </c>
      <c r="I481" s="27">
        <v>1</v>
      </c>
    </row>
    <row r="482" spans="1:9" x14ac:dyDescent="0.25">
      <c r="A482" s="27" t="s">
        <v>480</v>
      </c>
      <c r="B482" s="27" t="s">
        <v>111</v>
      </c>
      <c r="C482" s="27">
        <v>0</v>
      </c>
      <c r="D482" s="28">
        <v>43389</v>
      </c>
      <c r="E482" s="27">
        <v>714.85</v>
      </c>
      <c r="F482" s="27" t="s">
        <v>1754</v>
      </c>
      <c r="G482" s="27" t="s">
        <v>1755</v>
      </c>
      <c r="H482" s="27" t="s">
        <v>106</v>
      </c>
      <c r="I482" s="27">
        <v>2</v>
      </c>
    </row>
    <row r="483" spans="1:9" x14ac:dyDescent="0.25">
      <c r="A483" s="27" t="s">
        <v>480</v>
      </c>
      <c r="B483" s="27" t="s">
        <v>111</v>
      </c>
      <c r="C483" s="27">
        <v>0</v>
      </c>
      <c r="D483" s="28">
        <v>43389</v>
      </c>
      <c r="E483" s="27">
        <v>-4845.1099999999997</v>
      </c>
      <c r="F483" s="27" t="s">
        <v>1756</v>
      </c>
      <c r="G483" s="27" t="s">
        <v>1757</v>
      </c>
      <c r="H483" s="27" t="s">
        <v>106</v>
      </c>
      <c r="I483" s="27">
        <v>3</v>
      </c>
    </row>
    <row r="484" spans="1:9" x14ac:dyDescent="0.25">
      <c r="A484" s="27" t="s">
        <v>480</v>
      </c>
      <c r="B484" s="27" t="s">
        <v>111</v>
      </c>
      <c r="C484" s="27">
        <v>0</v>
      </c>
      <c r="D484" s="28">
        <v>43390</v>
      </c>
      <c r="E484" s="27">
        <v>-3812.55</v>
      </c>
      <c r="F484" s="27" t="s">
        <v>1758</v>
      </c>
      <c r="G484" s="27" t="s">
        <v>1759</v>
      </c>
      <c r="H484" s="27" t="s">
        <v>106</v>
      </c>
      <c r="I484" s="27">
        <v>1</v>
      </c>
    </row>
    <row r="485" spans="1:9" x14ac:dyDescent="0.25">
      <c r="A485" s="27" t="s">
        <v>480</v>
      </c>
      <c r="B485" s="27" t="s">
        <v>111</v>
      </c>
      <c r="C485" s="27">
        <v>0</v>
      </c>
      <c r="D485" s="28">
        <v>43390</v>
      </c>
      <c r="E485" s="27">
        <v>2303.41</v>
      </c>
      <c r="F485" s="27" t="s">
        <v>1760</v>
      </c>
      <c r="G485" s="27" t="s">
        <v>1761</v>
      </c>
      <c r="H485" s="27" t="s">
        <v>106</v>
      </c>
      <c r="I485" s="27">
        <v>2</v>
      </c>
    </row>
    <row r="486" spans="1:9" x14ac:dyDescent="0.25">
      <c r="A486" s="27" t="s">
        <v>480</v>
      </c>
      <c r="B486" s="27" t="s">
        <v>111</v>
      </c>
      <c r="C486" s="27">
        <v>0</v>
      </c>
      <c r="D486" s="28">
        <v>43390</v>
      </c>
      <c r="E486" s="27">
        <v>-1588.56</v>
      </c>
      <c r="F486" s="27" t="s">
        <v>1762</v>
      </c>
      <c r="G486" s="27" t="s">
        <v>1763</v>
      </c>
      <c r="H486" s="27" t="s">
        <v>106</v>
      </c>
      <c r="I486" s="27">
        <v>3</v>
      </c>
    </row>
    <row r="487" spans="1:9" x14ac:dyDescent="0.25">
      <c r="A487" s="27" t="s">
        <v>480</v>
      </c>
      <c r="B487" s="27" t="s">
        <v>111</v>
      </c>
      <c r="C487" s="27">
        <v>0</v>
      </c>
      <c r="D487" s="28">
        <v>43399</v>
      </c>
      <c r="E487" s="27">
        <v>9849.09</v>
      </c>
      <c r="F487" s="27" t="s">
        <v>1764</v>
      </c>
      <c r="G487" s="27" t="s">
        <v>1765</v>
      </c>
      <c r="H487" s="27" t="s">
        <v>106</v>
      </c>
      <c r="I487" s="27">
        <v>3</v>
      </c>
    </row>
    <row r="488" spans="1:9" x14ac:dyDescent="0.25">
      <c r="A488" s="27" t="s">
        <v>480</v>
      </c>
      <c r="B488" s="27" t="s">
        <v>111</v>
      </c>
      <c r="C488" s="27">
        <v>0</v>
      </c>
      <c r="D488" s="28">
        <v>43402</v>
      </c>
      <c r="E488" s="27">
        <v>-2621.13</v>
      </c>
      <c r="F488" s="27" t="s">
        <v>1766</v>
      </c>
      <c r="G488" s="27" t="s">
        <v>1767</v>
      </c>
      <c r="H488" s="27" t="s">
        <v>106</v>
      </c>
      <c r="I488" s="27">
        <v>3</v>
      </c>
    </row>
    <row r="489" spans="1:9" x14ac:dyDescent="0.25">
      <c r="A489" s="27" t="s">
        <v>480</v>
      </c>
      <c r="B489" s="27" t="s">
        <v>111</v>
      </c>
      <c r="C489" s="27">
        <v>0</v>
      </c>
      <c r="D489" s="28">
        <v>43404</v>
      </c>
      <c r="E489" s="27">
        <v>3574.26</v>
      </c>
      <c r="F489" s="27" t="s">
        <v>1768</v>
      </c>
      <c r="G489" s="27" t="s">
        <v>1769</v>
      </c>
      <c r="H489" s="27" t="s">
        <v>106</v>
      </c>
      <c r="I489" s="27">
        <v>6</v>
      </c>
    </row>
    <row r="490" spans="1:9" x14ac:dyDescent="0.25">
      <c r="A490" s="27" t="s">
        <v>776</v>
      </c>
      <c r="B490" s="27" t="s">
        <v>111</v>
      </c>
      <c r="C490" s="27">
        <v>0</v>
      </c>
      <c r="D490" s="28">
        <v>43248</v>
      </c>
      <c r="E490" s="27">
        <v>-2382.84</v>
      </c>
      <c r="F490" s="27" t="s">
        <v>1770</v>
      </c>
      <c r="G490" s="27" t="s">
        <v>1771</v>
      </c>
      <c r="H490" s="27" t="s">
        <v>106</v>
      </c>
      <c r="I490" s="27">
        <v>1</v>
      </c>
    </row>
    <row r="491" spans="1:9" x14ac:dyDescent="0.25">
      <c r="A491" s="27" t="s">
        <v>776</v>
      </c>
      <c r="B491" s="27" t="s">
        <v>111</v>
      </c>
      <c r="C491" s="27">
        <v>0</v>
      </c>
      <c r="D491" s="28">
        <v>43257</v>
      </c>
      <c r="E491" s="27">
        <v>-16521.05</v>
      </c>
      <c r="F491" s="27" t="s">
        <v>1772</v>
      </c>
      <c r="G491" s="27" t="s">
        <v>1773</v>
      </c>
      <c r="H491" s="27" t="s">
        <v>106</v>
      </c>
      <c r="I491" s="27">
        <v>1</v>
      </c>
    </row>
    <row r="492" spans="1:9" x14ac:dyDescent="0.25">
      <c r="A492" s="27" t="s">
        <v>776</v>
      </c>
      <c r="B492" s="27" t="s">
        <v>111</v>
      </c>
      <c r="C492" s="27">
        <v>0</v>
      </c>
      <c r="D492" s="28">
        <v>43266</v>
      </c>
      <c r="E492" s="27">
        <v>-25337.57</v>
      </c>
      <c r="F492" s="27" t="s">
        <v>1774</v>
      </c>
      <c r="G492" s="27" t="s">
        <v>1775</v>
      </c>
      <c r="H492" s="27" t="s">
        <v>106</v>
      </c>
      <c r="I492" s="27">
        <v>1</v>
      </c>
    </row>
    <row r="493" spans="1:9" x14ac:dyDescent="0.25">
      <c r="A493" s="27" t="s">
        <v>776</v>
      </c>
      <c r="B493" s="27" t="s">
        <v>111</v>
      </c>
      <c r="C493" s="27">
        <v>0</v>
      </c>
      <c r="D493" s="28">
        <v>43277</v>
      </c>
      <c r="E493" s="27">
        <v>22319.3</v>
      </c>
      <c r="F493" s="27" t="s">
        <v>1776</v>
      </c>
      <c r="G493" s="27" t="s">
        <v>1777</v>
      </c>
      <c r="H493" s="27" t="s">
        <v>106</v>
      </c>
      <c r="I493" s="27">
        <v>1</v>
      </c>
    </row>
    <row r="494" spans="1:9" x14ac:dyDescent="0.25">
      <c r="A494" s="27" t="s">
        <v>776</v>
      </c>
      <c r="B494" s="27" t="s">
        <v>111</v>
      </c>
      <c r="C494" s="27">
        <v>0</v>
      </c>
      <c r="D494" s="28">
        <v>43286</v>
      </c>
      <c r="E494" s="27">
        <v>8816.52</v>
      </c>
      <c r="F494" s="27" t="s">
        <v>1778</v>
      </c>
      <c r="G494" s="27" t="s">
        <v>1779</v>
      </c>
      <c r="H494" s="27" t="s">
        <v>106</v>
      </c>
      <c r="I494" s="27">
        <v>1</v>
      </c>
    </row>
    <row r="495" spans="1:9" x14ac:dyDescent="0.25">
      <c r="A495" s="27" t="s">
        <v>776</v>
      </c>
      <c r="B495" s="27" t="s">
        <v>111</v>
      </c>
      <c r="C495" s="27">
        <v>0</v>
      </c>
      <c r="D495" s="28">
        <v>43297</v>
      </c>
      <c r="E495" s="27">
        <v>11040.51</v>
      </c>
      <c r="F495" s="27" t="s">
        <v>1780</v>
      </c>
      <c r="G495" s="27" t="s">
        <v>1781</v>
      </c>
      <c r="H495" s="27" t="s">
        <v>106</v>
      </c>
      <c r="I495" s="27">
        <v>1</v>
      </c>
    </row>
    <row r="496" spans="1:9" x14ac:dyDescent="0.25">
      <c r="A496" s="27" t="s">
        <v>776</v>
      </c>
      <c r="B496" s="27" t="s">
        <v>111</v>
      </c>
      <c r="C496" s="27">
        <v>0</v>
      </c>
      <c r="D496" s="28">
        <v>43306</v>
      </c>
      <c r="E496" s="27">
        <v>-15885.62</v>
      </c>
      <c r="F496" s="27" t="s">
        <v>1782</v>
      </c>
      <c r="G496" s="27" t="s">
        <v>1783</v>
      </c>
      <c r="H496" s="27" t="s">
        <v>106</v>
      </c>
      <c r="I496" s="27">
        <v>1</v>
      </c>
    </row>
    <row r="497" spans="1:9" x14ac:dyDescent="0.25">
      <c r="A497" s="27" t="s">
        <v>776</v>
      </c>
      <c r="B497" s="27" t="s">
        <v>111</v>
      </c>
      <c r="C497" s="27">
        <v>0</v>
      </c>
      <c r="D497" s="28">
        <v>43326</v>
      </c>
      <c r="E497" s="27">
        <v>16600.47</v>
      </c>
      <c r="F497" s="27" t="s">
        <v>1784</v>
      </c>
      <c r="G497" s="27" t="s">
        <v>1785</v>
      </c>
      <c r="H497" s="27" t="s">
        <v>106</v>
      </c>
      <c r="I497" s="27">
        <v>1</v>
      </c>
    </row>
    <row r="498" spans="1:9" x14ac:dyDescent="0.25">
      <c r="A498" s="27" t="s">
        <v>776</v>
      </c>
      <c r="B498" s="27" t="s">
        <v>111</v>
      </c>
      <c r="C498" s="27">
        <v>0</v>
      </c>
      <c r="D498" s="28">
        <v>43335</v>
      </c>
      <c r="E498" s="27">
        <v>-317.70999999999998</v>
      </c>
      <c r="F498" s="27" t="s">
        <v>1786</v>
      </c>
      <c r="G498" s="27" t="s">
        <v>1787</v>
      </c>
      <c r="H498" s="27" t="s">
        <v>106</v>
      </c>
      <c r="I498" s="27">
        <v>1</v>
      </c>
    </row>
    <row r="499" spans="1:9" x14ac:dyDescent="0.25">
      <c r="A499" s="27" t="s">
        <v>776</v>
      </c>
      <c r="B499" s="27" t="s">
        <v>111</v>
      </c>
      <c r="C499" s="27">
        <v>0</v>
      </c>
      <c r="D499" s="28">
        <v>43346</v>
      </c>
      <c r="E499" s="27">
        <v>-16362.19</v>
      </c>
      <c r="F499" s="27" t="s">
        <v>1788</v>
      </c>
      <c r="G499" s="27" t="s">
        <v>1789</v>
      </c>
      <c r="H499" s="27" t="s">
        <v>106</v>
      </c>
      <c r="I499" s="27">
        <v>1</v>
      </c>
    </row>
    <row r="500" spans="1:9" x14ac:dyDescent="0.25">
      <c r="A500" s="27" t="s">
        <v>776</v>
      </c>
      <c r="B500" s="27" t="s">
        <v>111</v>
      </c>
      <c r="C500" s="27">
        <v>0</v>
      </c>
      <c r="D500" s="28">
        <v>43355</v>
      </c>
      <c r="E500" s="27">
        <v>-10484.51</v>
      </c>
      <c r="F500" s="27" t="s">
        <v>1790</v>
      </c>
      <c r="G500" s="27" t="s">
        <v>1791</v>
      </c>
      <c r="H500" s="27" t="s">
        <v>106</v>
      </c>
      <c r="I500" s="27">
        <v>1</v>
      </c>
    </row>
    <row r="501" spans="1:9" x14ac:dyDescent="0.25">
      <c r="A501" s="27" t="s">
        <v>776</v>
      </c>
      <c r="B501" s="27" t="s">
        <v>111</v>
      </c>
      <c r="C501" s="27">
        <v>0</v>
      </c>
      <c r="D501" s="28">
        <v>43363</v>
      </c>
      <c r="E501" s="27">
        <v>28355.83</v>
      </c>
      <c r="F501" s="27" t="s">
        <v>1792</v>
      </c>
      <c r="G501" s="27" t="s">
        <v>1793</v>
      </c>
      <c r="H501" s="27" t="s">
        <v>106</v>
      </c>
      <c r="I501" s="27">
        <v>3</v>
      </c>
    </row>
    <row r="502" spans="1:9" x14ac:dyDescent="0.25">
      <c r="A502" s="27" t="s">
        <v>776</v>
      </c>
      <c r="B502" s="27" t="s">
        <v>111</v>
      </c>
      <c r="C502" s="27">
        <v>0</v>
      </c>
      <c r="D502" s="28">
        <v>43375</v>
      </c>
      <c r="E502" s="27">
        <v>-1429.7</v>
      </c>
      <c r="F502" s="27" t="s">
        <v>1794</v>
      </c>
      <c r="G502" s="27" t="s">
        <v>1795</v>
      </c>
      <c r="H502" s="27" t="s">
        <v>106</v>
      </c>
      <c r="I502" s="27">
        <v>1</v>
      </c>
    </row>
    <row r="503" spans="1:9" x14ac:dyDescent="0.25">
      <c r="A503" s="27" t="s">
        <v>776</v>
      </c>
      <c r="B503" s="27" t="s">
        <v>111</v>
      </c>
      <c r="C503" s="27">
        <v>0</v>
      </c>
      <c r="D503" s="28">
        <v>43384</v>
      </c>
      <c r="E503" s="27">
        <v>-17156.48</v>
      </c>
      <c r="F503" s="27" t="s">
        <v>1796</v>
      </c>
      <c r="G503" s="27" t="s">
        <v>1797</v>
      </c>
      <c r="H503" s="27" t="s">
        <v>106</v>
      </c>
      <c r="I503" s="27">
        <v>1</v>
      </c>
    </row>
    <row r="504" spans="1:9" x14ac:dyDescent="0.25">
      <c r="A504" s="27" t="s">
        <v>776</v>
      </c>
      <c r="B504" s="27" t="s">
        <v>111</v>
      </c>
      <c r="C504" s="27">
        <v>0</v>
      </c>
      <c r="D504" s="28">
        <v>43395</v>
      </c>
      <c r="E504" s="27">
        <v>-28911.83</v>
      </c>
      <c r="F504" s="27" t="s">
        <v>1798</v>
      </c>
      <c r="G504" s="27" t="s">
        <v>1799</v>
      </c>
      <c r="H504" s="27" t="s">
        <v>106</v>
      </c>
      <c r="I504" s="27">
        <v>1</v>
      </c>
    </row>
    <row r="505" spans="1:9" x14ac:dyDescent="0.25">
      <c r="A505" s="27" t="s">
        <v>776</v>
      </c>
      <c r="B505" s="27" t="s">
        <v>111</v>
      </c>
      <c r="C505" s="27">
        <v>0</v>
      </c>
      <c r="D505" s="28">
        <v>43404</v>
      </c>
      <c r="E505" s="27">
        <v>44638.6</v>
      </c>
      <c r="F505" s="27" t="s">
        <v>1800</v>
      </c>
      <c r="G505" s="27" t="s">
        <v>1801</v>
      </c>
      <c r="H505" s="27" t="s">
        <v>106</v>
      </c>
      <c r="I505" s="27">
        <v>1</v>
      </c>
    </row>
    <row r="506" spans="1:9" x14ac:dyDescent="0.25">
      <c r="A506" s="27" t="s">
        <v>780</v>
      </c>
      <c r="B506" s="27" t="s">
        <v>111</v>
      </c>
      <c r="C506" s="27">
        <v>0</v>
      </c>
      <c r="D506" s="28">
        <v>43248</v>
      </c>
      <c r="E506" s="27">
        <v>2382.84</v>
      </c>
      <c r="F506" s="27" t="s">
        <v>1802</v>
      </c>
      <c r="G506" s="27" t="s">
        <v>1803</v>
      </c>
      <c r="H506" s="27" t="s">
        <v>106</v>
      </c>
      <c r="I506" s="27">
        <v>1</v>
      </c>
    </row>
    <row r="507" spans="1:9" x14ac:dyDescent="0.25">
      <c r="A507" s="27" t="s">
        <v>780</v>
      </c>
      <c r="B507" s="27" t="s">
        <v>111</v>
      </c>
      <c r="C507" s="27">
        <v>0</v>
      </c>
      <c r="D507" s="28">
        <v>43257</v>
      </c>
      <c r="E507" s="27">
        <v>16521.05</v>
      </c>
      <c r="F507" s="27" t="s">
        <v>1804</v>
      </c>
      <c r="G507" s="27" t="s">
        <v>1805</v>
      </c>
      <c r="H507" s="27" t="s">
        <v>106</v>
      </c>
      <c r="I507" s="27">
        <v>1</v>
      </c>
    </row>
    <row r="508" spans="1:9" x14ac:dyDescent="0.25">
      <c r="A508" s="27" t="s">
        <v>780</v>
      </c>
      <c r="B508" s="27" t="s">
        <v>111</v>
      </c>
      <c r="C508" s="27">
        <v>0</v>
      </c>
      <c r="D508" s="28">
        <v>43266</v>
      </c>
      <c r="E508" s="27">
        <v>25337.57</v>
      </c>
      <c r="F508" s="27" t="s">
        <v>1806</v>
      </c>
      <c r="G508" s="27" t="s">
        <v>1807</v>
      </c>
      <c r="H508" s="27" t="s">
        <v>106</v>
      </c>
      <c r="I508" s="27">
        <v>1</v>
      </c>
    </row>
    <row r="509" spans="1:9" x14ac:dyDescent="0.25">
      <c r="A509" s="27" t="s">
        <v>780</v>
      </c>
      <c r="B509" s="27" t="s">
        <v>111</v>
      </c>
      <c r="C509" s="27">
        <v>0</v>
      </c>
      <c r="D509" s="28">
        <v>43277</v>
      </c>
      <c r="E509" s="27">
        <v>-22319.3</v>
      </c>
      <c r="F509" s="27" t="s">
        <v>1808</v>
      </c>
      <c r="G509" s="27" t="s">
        <v>1809</v>
      </c>
      <c r="H509" s="27" t="s">
        <v>106</v>
      </c>
      <c r="I509" s="27">
        <v>1</v>
      </c>
    </row>
    <row r="510" spans="1:9" x14ac:dyDescent="0.25">
      <c r="A510" s="27" t="s">
        <v>780</v>
      </c>
      <c r="B510" s="27" t="s">
        <v>111</v>
      </c>
      <c r="C510" s="27">
        <v>0</v>
      </c>
      <c r="D510" s="28">
        <v>43286</v>
      </c>
      <c r="E510" s="27">
        <v>-8816.52</v>
      </c>
      <c r="F510" s="27" t="s">
        <v>1810</v>
      </c>
      <c r="G510" s="27" t="s">
        <v>1811</v>
      </c>
      <c r="H510" s="27" t="s">
        <v>106</v>
      </c>
      <c r="I510" s="27">
        <v>1</v>
      </c>
    </row>
    <row r="511" spans="1:9" x14ac:dyDescent="0.25">
      <c r="A511" s="27" t="s">
        <v>780</v>
      </c>
      <c r="B511" s="27" t="s">
        <v>111</v>
      </c>
      <c r="C511" s="27">
        <v>0</v>
      </c>
      <c r="D511" s="28">
        <v>43297</v>
      </c>
      <c r="E511" s="27">
        <v>-11040.51</v>
      </c>
      <c r="F511" s="27" t="s">
        <v>1812</v>
      </c>
      <c r="G511" s="27" t="s">
        <v>1813</v>
      </c>
      <c r="H511" s="27" t="s">
        <v>106</v>
      </c>
      <c r="I511" s="27">
        <v>1</v>
      </c>
    </row>
    <row r="512" spans="1:9" x14ac:dyDescent="0.25">
      <c r="A512" s="27" t="s">
        <v>780</v>
      </c>
      <c r="B512" s="27" t="s">
        <v>111</v>
      </c>
      <c r="C512" s="27">
        <v>0</v>
      </c>
      <c r="D512" s="28">
        <v>43306</v>
      </c>
      <c r="E512" s="27">
        <v>15885.62</v>
      </c>
      <c r="F512" s="27" t="s">
        <v>1814</v>
      </c>
      <c r="G512" s="27" t="s">
        <v>1815</v>
      </c>
      <c r="H512" s="27" t="s">
        <v>106</v>
      </c>
      <c r="I512" s="27">
        <v>1</v>
      </c>
    </row>
    <row r="513" spans="1:9" x14ac:dyDescent="0.25">
      <c r="A513" s="27" t="s">
        <v>780</v>
      </c>
      <c r="B513" s="27" t="s">
        <v>111</v>
      </c>
      <c r="C513" s="27">
        <v>0</v>
      </c>
      <c r="D513" s="28">
        <v>43326</v>
      </c>
      <c r="E513" s="27">
        <v>-16600.47</v>
      </c>
      <c r="F513" s="27" t="s">
        <v>1816</v>
      </c>
      <c r="G513" s="27" t="s">
        <v>1817</v>
      </c>
      <c r="H513" s="27" t="s">
        <v>106</v>
      </c>
      <c r="I513" s="27">
        <v>1</v>
      </c>
    </row>
    <row r="514" spans="1:9" x14ac:dyDescent="0.25">
      <c r="A514" s="27" t="s">
        <v>780</v>
      </c>
      <c r="B514" s="27" t="s">
        <v>111</v>
      </c>
      <c r="C514" s="27">
        <v>0</v>
      </c>
      <c r="D514" s="28">
        <v>43335</v>
      </c>
      <c r="E514" s="27">
        <v>317.70999999999998</v>
      </c>
      <c r="F514" s="27" t="s">
        <v>1818</v>
      </c>
      <c r="G514" s="27" t="s">
        <v>1819</v>
      </c>
      <c r="H514" s="27" t="s">
        <v>106</v>
      </c>
      <c r="I514" s="27">
        <v>1</v>
      </c>
    </row>
    <row r="515" spans="1:9" x14ac:dyDescent="0.25">
      <c r="A515" s="27" t="s">
        <v>780</v>
      </c>
      <c r="B515" s="27" t="s">
        <v>111</v>
      </c>
      <c r="C515" s="27">
        <v>0</v>
      </c>
      <c r="D515" s="28">
        <v>43346</v>
      </c>
      <c r="E515" s="27">
        <v>16362.19</v>
      </c>
      <c r="F515" s="27" t="s">
        <v>1820</v>
      </c>
      <c r="G515" s="27" t="s">
        <v>1821</v>
      </c>
      <c r="H515" s="27" t="s">
        <v>106</v>
      </c>
      <c r="I515" s="27">
        <v>1</v>
      </c>
    </row>
    <row r="516" spans="1:9" x14ac:dyDescent="0.25">
      <c r="A516" s="27" t="s">
        <v>780</v>
      </c>
      <c r="B516" s="27" t="s">
        <v>111</v>
      </c>
      <c r="C516" s="27">
        <v>0</v>
      </c>
      <c r="D516" s="28">
        <v>43355</v>
      </c>
      <c r="E516" s="27">
        <v>10484.51</v>
      </c>
      <c r="F516" s="27" t="s">
        <v>1822</v>
      </c>
      <c r="G516" s="27" t="s">
        <v>1823</v>
      </c>
      <c r="H516" s="27" t="s">
        <v>106</v>
      </c>
      <c r="I516" s="27">
        <v>1</v>
      </c>
    </row>
    <row r="517" spans="1:9" x14ac:dyDescent="0.25">
      <c r="A517" s="27" t="s">
        <v>780</v>
      </c>
      <c r="B517" s="27" t="s">
        <v>111</v>
      </c>
      <c r="C517" s="27">
        <v>0</v>
      </c>
      <c r="D517" s="28">
        <v>43363</v>
      </c>
      <c r="E517" s="27">
        <v>-28355.83</v>
      </c>
      <c r="F517" s="27" t="s">
        <v>1824</v>
      </c>
      <c r="G517" s="27" t="s">
        <v>1825</v>
      </c>
      <c r="H517" s="27" t="s">
        <v>106</v>
      </c>
      <c r="I517" s="27">
        <v>3</v>
      </c>
    </row>
    <row r="518" spans="1:9" x14ac:dyDescent="0.25">
      <c r="A518" s="27" t="s">
        <v>780</v>
      </c>
      <c r="B518" s="27" t="s">
        <v>111</v>
      </c>
      <c r="C518" s="27">
        <v>0</v>
      </c>
      <c r="D518" s="28">
        <v>43375</v>
      </c>
      <c r="E518" s="27">
        <v>1429.7</v>
      </c>
      <c r="F518" s="27" t="s">
        <v>1826</v>
      </c>
      <c r="G518" s="27" t="s">
        <v>1827</v>
      </c>
      <c r="H518" s="27" t="s">
        <v>106</v>
      </c>
      <c r="I518" s="27">
        <v>1</v>
      </c>
    </row>
    <row r="519" spans="1:9" x14ac:dyDescent="0.25">
      <c r="A519" s="27" t="s">
        <v>780</v>
      </c>
      <c r="B519" s="27" t="s">
        <v>111</v>
      </c>
      <c r="C519" s="27">
        <v>0</v>
      </c>
      <c r="D519" s="28">
        <v>43384</v>
      </c>
      <c r="E519" s="27">
        <v>17156.48</v>
      </c>
      <c r="F519" s="27" t="s">
        <v>1828</v>
      </c>
      <c r="G519" s="27" t="s">
        <v>1829</v>
      </c>
      <c r="H519" s="27" t="s">
        <v>106</v>
      </c>
      <c r="I519" s="27">
        <v>1</v>
      </c>
    </row>
    <row r="520" spans="1:9" x14ac:dyDescent="0.25">
      <c r="A520" s="27" t="s">
        <v>780</v>
      </c>
      <c r="B520" s="27" t="s">
        <v>111</v>
      </c>
      <c r="C520" s="27">
        <v>0</v>
      </c>
      <c r="D520" s="28">
        <v>43395</v>
      </c>
      <c r="E520" s="27">
        <v>28911.83</v>
      </c>
      <c r="F520" s="27" t="s">
        <v>1830</v>
      </c>
      <c r="G520" s="27" t="s">
        <v>1831</v>
      </c>
      <c r="H520" s="27" t="s">
        <v>106</v>
      </c>
      <c r="I520" s="27">
        <v>1</v>
      </c>
    </row>
    <row r="521" spans="1:9" x14ac:dyDescent="0.25">
      <c r="A521" s="27" t="s">
        <v>780</v>
      </c>
      <c r="B521" s="27" t="s">
        <v>111</v>
      </c>
      <c r="C521" s="27">
        <v>0</v>
      </c>
      <c r="D521" s="28">
        <v>43404</v>
      </c>
      <c r="E521" s="27">
        <v>-44638.6</v>
      </c>
      <c r="F521" s="27" t="s">
        <v>1832</v>
      </c>
      <c r="G521" s="27" t="s">
        <v>1833</v>
      </c>
      <c r="H521" s="27" t="s">
        <v>106</v>
      </c>
      <c r="I521" s="27">
        <v>1</v>
      </c>
    </row>
    <row r="522" spans="1:9" x14ac:dyDescent="0.25">
      <c r="A522" s="27" t="s">
        <v>782</v>
      </c>
      <c r="B522" s="27" t="s">
        <v>111</v>
      </c>
      <c r="C522" s="27">
        <v>0</v>
      </c>
      <c r="D522" s="28">
        <v>43242</v>
      </c>
      <c r="E522" s="27">
        <v>-2303.42</v>
      </c>
      <c r="F522" s="27" t="s">
        <v>1834</v>
      </c>
      <c r="G522" s="27" t="s">
        <v>1835</v>
      </c>
      <c r="H522" s="27" t="s">
        <v>106</v>
      </c>
      <c r="I522" s="27">
        <v>1</v>
      </c>
    </row>
    <row r="523" spans="1:9" x14ac:dyDescent="0.25">
      <c r="A523" s="27" t="s">
        <v>782</v>
      </c>
      <c r="B523" s="27" t="s">
        <v>111</v>
      </c>
      <c r="C523" s="27">
        <v>0</v>
      </c>
      <c r="D523" s="28">
        <v>43243</v>
      </c>
      <c r="E523" s="27">
        <v>-699.76</v>
      </c>
      <c r="F523" s="27" t="s">
        <v>1836</v>
      </c>
      <c r="G523" s="27" t="s">
        <v>1837</v>
      </c>
      <c r="H523" s="27" t="s">
        <v>106</v>
      </c>
      <c r="I523" s="27">
        <v>1</v>
      </c>
    </row>
    <row r="524" spans="1:9" x14ac:dyDescent="0.25">
      <c r="A524" s="27" t="s">
        <v>782</v>
      </c>
      <c r="B524" s="27" t="s">
        <v>111</v>
      </c>
      <c r="C524" s="27">
        <v>0</v>
      </c>
      <c r="D524" s="28">
        <v>43244</v>
      </c>
      <c r="E524" s="27">
        <v>538.53</v>
      </c>
      <c r="F524" s="27" t="s">
        <v>1838</v>
      </c>
      <c r="G524" s="27" t="s">
        <v>1839</v>
      </c>
      <c r="H524" s="27" t="s">
        <v>106</v>
      </c>
      <c r="I524" s="27">
        <v>1</v>
      </c>
    </row>
    <row r="525" spans="1:9" x14ac:dyDescent="0.25">
      <c r="A525" s="27" t="s">
        <v>782</v>
      </c>
      <c r="B525" s="27" t="s">
        <v>111</v>
      </c>
      <c r="C525" s="27">
        <v>0</v>
      </c>
      <c r="D525" s="28">
        <v>43251</v>
      </c>
      <c r="E525" s="27">
        <v>135.02000000000001</v>
      </c>
      <c r="F525" s="27" t="s">
        <v>1840</v>
      </c>
      <c r="G525" s="27" t="s">
        <v>1841</v>
      </c>
      <c r="H525" s="27" t="s">
        <v>106</v>
      </c>
      <c r="I525" s="27">
        <v>1</v>
      </c>
    </row>
    <row r="526" spans="1:9" x14ac:dyDescent="0.25">
      <c r="A526" s="27" t="s">
        <v>782</v>
      </c>
      <c r="B526" s="27" t="s">
        <v>111</v>
      </c>
      <c r="C526" s="27">
        <v>0</v>
      </c>
      <c r="D526" s="28">
        <v>43252</v>
      </c>
      <c r="E526" s="27">
        <v>-3627.48</v>
      </c>
      <c r="F526" s="27" t="s">
        <v>1842</v>
      </c>
      <c r="G526" s="27" t="s">
        <v>1843</v>
      </c>
      <c r="H526" s="27" t="s">
        <v>106</v>
      </c>
      <c r="I526" s="27">
        <v>1</v>
      </c>
    </row>
    <row r="527" spans="1:9" x14ac:dyDescent="0.25">
      <c r="A527" s="27" t="s">
        <v>782</v>
      </c>
      <c r="B527" s="27" t="s">
        <v>111</v>
      </c>
      <c r="C527" s="27">
        <v>0</v>
      </c>
      <c r="D527" s="28">
        <v>43255</v>
      </c>
      <c r="E527" s="27">
        <v>3440.83</v>
      </c>
      <c r="F527" s="27" t="s">
        <v>1844</v>
      </c>
      <c r="G527" s="27" t="s">
        <v>1845</v>
      </c>
      <c r="H527" s="27" t="s">
        <v>106</v>
      </c>
      <c r="I527" s="27">
        <v>1</v>
      </c>
    </row>
    <row r="528" spans="1:9" x14ac:dyDescent="0.25">
      <c r="A528" s="27" t="s">
        <v>782</v>
      </c>
      <c r="B528" s="27" t="s">
        <v>111</v>
      </c>
      <c r="C528" s="27">
        <v>0</v>
      </c>
      <c r="D528" s="28">
        <v>43257</v>
      </c>
      <c r="E528" s="27">
        <v>249.4</v>
      </c>
      <c r="F528" s="27" t="s">
        <v>1846</v>
      </c>
      <c r="G528" s="27" t="s">
        <v>1847</v>
      </c>
      <c r="H528" s="27" t="s">
        <v>106</v>
      </c>
      <c r="I528" s="27">
        <v>1</v>
      </c>
    </row>
    <row r="529" spans="1:9" x14ac:dyDescent="0.25">
      <c r="A529" s="27" t="s">
        <v>782</v>
      </c>
      <c r="B529" s="27" t="s">
        <v>111</v>
      </c>
      <c r="C529" s="27">
        <v>0</v>
      </c>
      <c r="D529" s="28">
        <v>43262</v>
      </c>
      <c r="E529" s="27">
        <v>-115.96</v>
      </c>
      <c r="F529" s="27" t="s">
        <v>1848</v>
      </c>
      <c r="G529" s="27" t="s">
        <v>1849</v>
      </c>
      <c r="H529" s="27" t="s">
        <v>106</v>
      </c>
      <c r="I529" s="27">
        <v>1</v>
      </c>
    </row>
    <row r="530" spans="1:9" x14ac:dyDescent="0.25">
      <c r="A530" s="27" t="s">
        <v>782</v>
      </c>
      <c r="B530" s="27" t="s">
        <v>111</v>
      </c>
      <c r="C530" s="27">
        <v>0</v>
      </c>
      <c r="D530" s="28">
        <v>43264</v>
      </c>
      <c r="E530" s="27">
        <v>-772.84</v>
      </c>
      <c r="F530" s="27" t="s">
        <v>1850</v>
      </c>
      <c r="G530" s="27" t="s">
        <v>1851</v>
      </c>
      <c r="H530" s="27" t="s">
        <v>106</v>
      </c>
      <c r="I530" s="27">
        <v>1</v>
      </c>
    </row>
    <row r="531" spans="1:9" x14ac:dyDescent="0.25">
      <c r="A531" s="27" t="s">
        <v>782</v>
      </c>
      <c r="B531" s="27" t="s">
        <v>111</v>
      </c>
      <c r="C531" s="27">
        <v>0</v>
      </c>
      <c r="D531" s="28">
        <v>43271</v>
      </c>
      <c r="E531" s="27">
        <v>762.51</v>
      </c>
      <c r="F531" s="27" t="s">
        <v>1852</v>
      </c>
      <c r="G531" s="27" t="s">
        <v>1853</v>
      </c>
      <c r="H531" s="27" t="s">
        <v>106</v>
      </c>
      <c r="I531" s="27">
        <v>1</v>
      </c>
    </row>
    <row r="532" spans="1:9" x14ac:dyDescent="0.25">
      <c r="A532" s="27" t="s">
        <v>782</v>
      </c>
      <c r="B532" s="27" t="s">
        <v>111</v>
      </c>
      <c r="C532" s="27">
        <v>0</v>
      </c>
      <c r="D532" s="28">
        <v>43272</v>
      </c>
      <c r="E532" s="27">
        <v>-4596.5</v>
      </c>
      <c r="F532" s="27" t="s">
        <v>1854</v>
      </c>
      <c r="G532" s="27" t="s">
        <v>1855</v>
      </c>
      <c r="H532" s="27" t="s">
        <v>106</v>
      </c>
      <c r="I532" s="27">
        <v>1</v>
      </c>
    </row>
    <row r="533" spans="1:9" x14ac:dyDescent="0.25">
      <c r="A533" s="27" t="s">
        <v>782</v>
      </c>
      <c r="B533" s="27" t="s">
        <v>111</v>
      </c>
      <c r="C533" s="27">
        <v>0</v>
      </c>
      <c r="D533" s="28">
        <v>43277</v>
      </c>
      <c r="E533" s="27">
        <v>2036.53</v>
      </c>
      <c r="F533" s="27" t="s">
        <v>1856</v>
      </c>
      <c r="G533" s="27" t="s">
        <v>1857</v>
      </c>
      <c r="H533" s="27" t="s">
        <v>106</v>
      </c>
      <c r="I533" s="27">
        <v>1</v>
      </c>
    </row>
    <row r="534" spans="1:9" x14ac:dyDescent="0.25">
      <c r="A534" s="27" t="s">
        <v>782</v>
      </c>
      <c r="B534" s="27" t="s">
        <v>111</v>
      </c>
      <c r="C534" s="27">
        <v>0</v>
      </c>
      <c r="D534" s="28">
        <v>43280</v>
      </c>
      <c r="E534" s="27">
        <v>2525.8200000000002</v>
      </c>
      <c r="F534" s="27" t="s">
        <v>1858</v>
      </c>
      <c r="G534" s="27" t="s">
        <v>1859</v>
      </c>
      <c r="H534" s="27" t="s">
        <v>106</v>
      </c>
      <c r="I534" s="27">
        <v>1</v>
      </c>
    </row>
    <row r="535" spans="1:9" x14ac:dyDescent="0.25">
      <c r="A535" s="27" t="s">
        <v>782</v>
      </c>
      <c r="B535" s="27" t="s">
        <v>111</v>
      </c>
      <c r="C535" s="27">
        <v>0</v>
      </c>
      <c r="D535" s="28">
        <v>43283</v>
      </c>
      <c r="E535" s="27">
        <v>-586.98</v>
      </c>
      <c r="F535" s="27" t="s">
        <v>1860</v>
      </c>
      <c r="G535" s="27" t="s">
        <v>1861</v>
      </c>
      <c r="H535" s="27" t="s">
        <v>106</v>
      </c>
      <c r="I535" s="27">
        <v>1</v>
      </c>
    </row>
    <row r="536" spans="1:9" x14ac:dyDescent="0.25">
      <c r="A536" s="27" t="s">
        <v>782</v>
      </c>
      <c r="B536" s="27" t="s">
        <v>111</v>
      </c>
      <c r="C536" s="27">
        <v>0</v>
      </c>
      <c r="D536" s="28">
        <v>43284</v>
      </c>
      <c r="E536" s="27">
        <v>515.49</v>
      </c>
      <c r="F536" s="27" t="s">
        <v>1862</v>
      </c>
      <c r="G536" s="27" t="s">
        <v>1863</v>
      </c>
      <c r="H536" s="27" t="s">
        <v>106</v>
      </c>
      <c r="I536" s="27">
        <v>1</v>
      </c>
    </row>
    <row r="537" spans="1:9" x14ac:dyDescent="0.25">
      <c r="A537" s="27" t="s">
        <v>782</v>
      </c>
      <c r="B537" s="27" t="s">
        <v>111</v>
      </c>
      <c r="C537" s="27">
        <v>0</v>
      </c>
      <c r="D537" s="28">
        <v>43286</v>
      </c>
      <c r="E537" s="27">
        <v>530.58000000000004</v>
      </c>
      <c r="F537" s="27" t="s">
        <v>1864</v>
      </c>
      <c r="G537" s="27" t="s">
        <v>1865</v>
      </c>
      <c r="H537" s="27" t="s">
        <v>106</v>
      </c>
      <c r="I537" s="27">
        <v>1</v>
      </c>
    </row>
    <row r="538" spans="1:9" x14ac:dyDescent="0.25">
      <c r="A538" s="27" t="s">
        <v>782</v>
      </c>
      <c r="B538" s="27" t="s">
        <v>111</v>
      </c>
      <c r="C538" s="27">
        <v>0</v>
      </c>
      <c r="D538" s="28">
        <v>43291</v>
      </c>
      <c r="E538" s="27">
        <v>-383.64</v>
      </c>
      <c r="F538" s="27" t="s">
        <v>1866</v>
      </c>
      <c r="G538" s="27" t="s">
        <v>1867</v>
      </c>
      <c r="H538" s="27" t="s">
        <v>106</v>
      </c>
      <c r="I538" s="27">
        <v>1</v>
      </c>
    </row>
    <row r="539" spans="1:9" x14ac:dyDescent="0.25">
      <c r="A539" s="27" t="s">
        <v>782</v>
      </c>
      <c r="B539" s="27" t="s">
        <v>111</v>
      </c>
      <c r="C539" s="27">
        <v>0</v>
      </c>
      <c r="D539" s="28">
        <v>43292</v>
      </c>
      <c r="E539" s="27">
        <v>-4399.5200000000004</v>
      </c>
      <c r="F539" s="27" t="s">
        <v>1868</v>
      </c>
      <c r="G539" s="27" t="s">
        <v>1869</v>
      </c>
      <c r="H539" s="27" t="s">
        <v>106</v>
      </c>
      <c r="I539" s="27">
        <v>1</v>
      </c>
    </row>
    <row r="540" spans="1:9" x14ac:dyDescent="0.25">
      <c r="A540" s="27" t="s">
        <v>782</v>
      </c>
      <c r="B540" s="27" t="s">
        <v>111</v>
      </c>
      <c r="C540" s="27">
        <v>0</v>
      </c>
      <c r="D540" s="28">
        <v>43293</v>
      </c>
      <c r="E540" s="27">
        <v>2733.12</v>
      </c>
      <c r="F540" s="27" t="s">
        <v>1870</v>
      </c>
      <c r="G540" s="27" t="s">
        <v>1871</v>
      </c>
      <c r="H540" s="27" t="s">
        <v>106</v>
      </c>
      <c r="I540" s="27">
        <v>1</v>
      </c>
    </row>
    <row r="541" spans="1:9" x14ac:dyDescent="0.25">
      <c r="A541" s="27" t="s">
        <v>782</v>
      </c>
      <c r="B541" s="27" t="s">
        <v>111</v>
      </c>
      <c r="C541" s="27">
        <v>0</v>
      </c>
      <c r="D541" s="28">
        <v>43297</v>
      </c>
      <c r="E541" s="27">
        <v>2148.5300000000002</v>
      </c>
      <c r="F541" s="27" t="s">
        <v>1872</v>
      </c>
      <c r="G541" s="27" t="s">
        <v>1873</v>
      </c>
      <c r="H541" s="27" t="s">
        <v>106</v>
      </c>
      <c r="I541" s="27">
        <v>1</v>
      </c>
    </row>
    <row r="542" spans="1:9" x14ac:dyDescent="0.25">
      <c r="A542" s="27" t="s">
        <v>782</v>
      </c>
      <c r="B542" s="27" t="s">
        <v>111</v>
      </c>
      <c r="C542" s="27">
        <v>0</v>
      </c>
      <c r="D542" s="28">
        <v>43300</v>
      </c>
      <c r="E542" s="27">
        <v>-671.96</v>
      </c>
      <c r="F542" s="27" t="s">
        <v>1874</v>
      </c>
      <c r="G542" s="27" t="s">
        <v>1875</v>
      </c>
      <c r="H542" s="27" t="s">
        <v>106</v>
      </c>
      <c r="I542" s="27">
        <v>1</v>
      </c>
    </row>
    <row r="543" spans="1:9" x14ac:dyDescent="0.25">
      <c r="A543" s="27" t="s">
        <v>782</v>
      </c>
      <c r="B543" s="27" t="s">
        <v>111</v>
      </c>
      <c r="C543" s="27">
        <v>0</v>
      </c>
      <c r="D543" s="28">
        <v>43304</v>
      </c>
      <c r="E543" s="27">
        <v>-105.64</v>
      </c>
      <c r="F543" s="27" t="s">
        <v>1876</v>
      </c>
      <c r="G543" s="27" t="s">
        <v>1877</v>
      </c>
      <c r="H543" s="27" t="s">
        <v>106</v>
      </c>
      <c r="I543" s="27">
        <v>1</v>
      </c>
    </row>
    <row r="544" spans="1:9" x14ac:dyDescent="0.25">
      <c r="A544" s="27" t="s">
        <v>782</v>
      </c>
      <c r="B544" s="27" t="s">
        <v>111</v>
      </c>
      <c r="C544" s="27">
        <v>0</v>
      </c>
      <c r="D544" s="28">
        <v>43306</v>
      </c>
      <c r="E544" s="27">
        <v>-510.72</v>
      </c>
      <c r="F544" s="27" t="s">
        <v>1878</v>
      </c>
      <c r="G544" s="27" t="s">
        <v>1879</v>
      </c>
      <c r="H544" s="27" t="s">
        <v>106</v>
      </c>
      <c r="I544" s="27">
        <v>1</v>
      </c>
    </row>
    <row r="545" spans="1:9" x14ac:dyDescent="0.25">
      <c r="A545" s="27" t="s">
        <v>782</v>
      </c>
      <c r="B545" s="27" t="s">
        <v>111</v>
      </c>
      <c r="C545" s="27">
        <v>0</v>
      </c>
      <c r="D545" s="28">
        <v>43311</v>
      </c>
      <c r="E545" s="27">
        <v>805.4</v>
      </c>
      <c r="F545" s="27" t="s">
        <v>1880</v>
      </c>
      <c r="G545" s="27" t="s">
        <v>1881</v>
      </c>
      <c r="H545" s="27" t="s">
        <v>106</v>
      </c>
      <c r="I545" s="27">
        <v>1</v>
      </c>
    </row>
    <row r="546" spans="1:9" x14ac:dyDescent="0.25">
      <c r="A546" s="27" t="s">
        <v>782</v>
      </c>
      <c r="B546" s="27" t="s">
        <v>111</v>
      </c>
      <c r="C546" s="27">
        <v>0</v>
      </c>
      <c r="D546" s="28">
        <v>43312</v>
      </c>
      <c r="E546" s="27">
        <v>-4547.26</v>
      </c>
      <c r="F546" s="27" t="s">
        <v>1882</v>
      </c>
      <c r="G546" s="27" t="s">
        <v>1883</v>
      </c>
      <c r="H546" s="27" t="s">
        <v>106</v>
      </c>
      <c r="I546" s="27">
        <v>1</v>
      </c>
    </row>
    <row r="547" spans="1:9" x14ac:dyDescent="0.25">
      <c r="A547" s="27" t="s">
        <v>782</v>
      </c>
      <c r="B547" s="27" t="s">
        <v>111</v>
      </c>
      <c r="C547" s="27">
        <v>0</v>
      </c>
      <c r="D547" s="28">
        <v>43313</v>
      </c>
      <c r="E547" s="27">
        <v>4358.22</v>
      </c>
      <c r="F547" s="27" t="s">
        <v>1884</v>
      </c>
      <c r="G547" s="27" t="s">
        <v>1885</v>
      </c>
      <c r="H547" s="27" t="s">
        <v>106</v>
      </c>
      <c r="I547" s="27">
        <v>1</v>
      </c>
    </row>
    <row r="548" spans="1:9" x14ac:dyDescent="0.25">
      <c r="A548" s="27" t="s">
        <v>782</v>
      </c>
      <c r="B548" s="27" t="s">
        <v>111</v>
      </c>
      <c r="C548" s="27">
        <v>0</v>
      </c>
      <c r="D548" s="28">
        <v>43315</v>
      </c>
      <c r="E548" s="27">
        <v>-2621.13</v>
      </c>
      <c r="F548" s="27" t="s">
        <v>1886</v>
      </c>
      <c r="G548" s="27" t="s">
        <v>1887</v>
      </c>
      <c r="H548" s="27" t="s">
        <v>106</v>
      </c>
      <c r="I548" s="27">
        <v>1</v>
      </c>
    </row>
    <row r="549" spans="1:9" x14ac:dyDescent="0.25">
      <c r="A549" s="27" t="s">
        <v>782</v>
      </c>
      <c r="B549" s="27" t="s">
        <v>111</v>
      </c>
      <c r="C549" s="27">
        <v>0</v>
      </c>
      <c r="D549" s="28">
        <v>43320</v>
      </c>
      <c r="E549" s="27">
        <v>2779.99</v>
      </c>
      <c r="F549" s="27" t="s">
        <v>1888</v>
      </c>
      <c r="G549" s="27" t="s">
        <v>1889</v>
      </c>
      <c r="H549" s="27" t="s">
        <v>106</v>
      </c>
      <c r="I549" s="27">
        <v>1</v>
      </c>
    </row>
    <row r="550" spans="1:9" x14ac:dyDescent="0.25">
      <c r="A550" s="27" t="s">
        <v>782</v>
      </c>
      <c r="B550" s="27" t="s">
        <v>111</v>
      </c>
      <c r="C550" s="27">
        <v>0</v>
      </c>
      <c r="D550" s="28">
        <v>43321</v>
      </c>
      <c r="E550" s="27">
        <v>-600.48</v>
      </c>
      <c r="F550" s="27" t="s">
        <v>1890</v>
      </c>
      <c r="G550" s="27" t="s">
        <v>1891</v>
      </c>
      <c r="H550" s="27" t="s">
        <v>106</v>
      </c>
      <c r="I550" s="27">
        <v>1</v>
      </c>
    </row>
    <row r="551" spans="1:9" x14ac:dyDescent="0.25">
      <c r="A551" s="27" t="s">
        <v>782</v>
      </c>
      <c r="B551" s="27" t="s">
        <v>111</v>
      </c>
      <c r="C551" s="27">
        <v>0</v>
      </c>
      <c r="D551" s="28">
        <v>43326</v>
      </c>
      <c r="E551" s="27">
        <v>997.62</v>
      </c>
      <c r="F551" s="27" t="s">
        <v>1892</v>
      </c>
      <c r="G551" s="27" t="s">
        <v>1893</v>
      </c>
      <c r="H551" s="27" t="s">
        <v>106</v>
      </c>
      <c r="I551" s="27">
        <v>1</v>
      </c>
    </row>
    <row r="552" spans="1:9" x14ac:dyDescent="0.25">
      <c r="A552" s="27" t="s">
        <v>782</v>
      </c>
      <c r="B552" s="27" t="s">
        <v>111</v>
      </c>
      <c r="C552" s="27">
        <v>0</v>
      </c>
      <c r="D552" s="28">
        <v>43329</v>
      </c>
      <c r="E552" s="27">
        <v>-289.12</v>
      </c>
      <c r="F552" s="27" t="s">
        <v>1894</v>
      </c>
      <c r="G552" s="27" t="s">
        <v>1895</v>
      </c>
      <c r="H552" s="27" t="s">
        <v>106</v>
      </c>
      <c r="I552" s="27">
        <v>1</v>
      </c>
    </row>
    <row r="553" spans="1:9" x14ac:dyDescent="0.25">
      <c r="A553" s="27" t="s">
        <v>782</v>
      </c>
      <c r="B553" s="27" t="s">
        <v>111</v>
      </c>
      <c r="C553" s="27">
        <v>0</v>
      </c>
      <c r="D553" s="28">
        <v>43333</v>
      </c>
      <c r="E553" s="27">
        <v>-2014.3</v>
      </c>
      <c r="F553" s="27" t="s">
        <v>1896</v>
      </c>
      <c r="G553" s="27" t="s">
        <v>1897</v>
      </c>
      <c r="H553" s="27" t="s">
        <v>106</v>
      </c>
      <c r="I553" s="27">
        <v>1</v>
      </c>
    </row>
    <row r="554" spans="1:9" x14ac:dyDescent="0.25">
      <c r="A554" s="27" t="s">
        <v>782</v>
      </c>
      <c r="B554" s="27" t="s">
        <v>111</v>
      </c>
      <c r="C554" s="27">
        <v>0</v>
      </c>
      <c r="D554" s="28">
        <v>43335</v>
      </c>
      <c r="E554" s="27">
        <v>2427.3200000000002</v>
      </c>
      <c r="F554" s="27" t="s">
        <v>1898</v>
      </c>
      <c r="G554" s="27" t="s">
        <v>1899</v>
      </c>
      <c r="H554" s="27" t="s">
        <v>106</v>
      </c>
      <c r="I554" s="27">
        <v>1</v>
      </c>
    </row>
    <row r="555" spans="1:9" x14ac:dyDescent="0.25">
      <c r="A555" s="27" t="s">
        <v>782</v>
      </c>
      <c r="B555" s="27" t="s">
        <v>111</v>
      </c>
      <c r="C555" s="27">
        <v>0</v>
      </c>
      <c r="D555" s="28">
        <v>43340</v>
      </c>
      <c r="E555" s="27">
        <v>-777.6</v>
      </c>
      <c r="F555" s="27" t="s">
        <v>1900</v>
      </c>
      <c r="G555" s="27" t="s">
        <v>1901</v>
      </c>
      <c r="H555" s="27" t="s">
        <v>106</v>
      </c>
      <c r="I555" s="27">
        <v>1</v>
      </c>
    </row>
    <row r="556" spans="1:9" x14ac:dyDescent="0.25">
      <c r="A556" s="27" t="s">
        <v>782</v>
      </c>
      <c r="B556" s="27" t="s">
        <v>111</v>
      </c>
      <c r="C556" s="27">
        <v>0</v>
      </c>
      <c r="D556" s="28">
        <v>43341</v>
      </c>
      <c r="E556" s="27">
        <v>-2761.71</v>
      </c>
      <c r="F556" s="27" t="s">
        <v>1902</v>
      </c>
      <c r="G556" s="27" t="s">
        <v>1903</v>
      </c>
      <c r="H556" s="27" t="s">
        <v>106</v>
      </c>
      <c r="I556" s="27">
        <v>1</v>
      </c>
    </row>
    <row r="557" spans="1:9" x14ac:dyDescent="0.25">
      <c r="A557" s="27" t="s">
        <v>782</v>
      </c>
      <c r="B557" s="27" t="s">
        <v>111</v>
      </c>
      <c r="C557" s="27">
        <v>0</v>
      </c>
      <c r="D557" s="28">
        <v>43342</v>
      </c>
      <c r="E557" s="27">
        <v>2990.47</v>
      </c>
      <c r="F557" s="27" t="s">
        <v>1904</v>
      </c>
      <c r="G557" s="27" t="s">
        <v>1905</v>
      </c>
      <c r="H557" s="27" t="s">
        <v>106</v>
      </c>
      <c r="I557" s="27">
        <v>1</v>
      </c>
    </row>
    <row r="558" spans="1:9" x14ac:dyDescent="0.25">
      <c r="A558" s="27" t="s">
        <v>782</v>
      </c>
      <c r="B558" s="27" t="s">
        <v>111</v>
      </c>
      <c r="C558" s="27">
        <v>0</v>
      </c>
      <c r="D558" s="28">
        <v>43349</v>
      </c>
      <c r="E558" s="27">
        <v>46.86</v>
      </c>
      <c r="F558" s="27" t="s">
        <v>1906</v>
      </c>
      <c r="G558" s="27" t="s">
        <v>1907</v>
      </c>
      <c r="H558" s="27" t="s">
        <v>106</v>
      </c>
      <c r="I558" s="27">
        <v>1</v>
      </c>
    </row>
    <row r="559" spans="1:9" x14ac:dyDescent="0.25">
      <c r="A559" s="27" t="s">
        <v>782</v>
      </c>
      <c r="B559" s="27" t="s">
        <v>111</v>
      </c>
      <c r="C559" s="27">
        <v>0</v>
      </c>
      <c r="D559" s="28">
        <v>43350</v>
      </c>
      <c r="E559" s="27">
        <v>-3882.45</v>
      </c>
      <c r="F559" s="27" t="s">
        <v>1908</v>
      </c>
      <c r="G559" s="27" t="s">
        <v>1909</v>
      </c>
      <c r="H559" s="27" t="s">
        <v>106</v>
      </c>
      <c r="I559" s="27">
        <v>1</v>
      </c>
    </row>
    <row r="560" spans="1:9" x14ac:dyDescent="0.25">
      <c r="A560" s="27" t="s">
        <v>782</v>
      </c>
      <c r="B560" s="27" t="s">
        <v>111</v>
      </c>
      <c r="C560" s="27">
        <v>0</v>
      </c>
      <c r="D560" s="28">
        <v>43353</v>
      </c>
      <c r="E560" s="27">
        <v>3741.07</v>
      </c>
      <c r="F560" s="27" t="s">
        <v>1910</v>
      </c>
      <c r="G560" s="27" t="s">
        <v>1911</v>
      </c>
      <c r="H560" s="27" t="s">
        <v>106</v>
      </c>
      <c r="I560" s="27">
        <v>1</v>
      </c>
    </row>
    <row r="561" spans="1:9" x14ac:dyDescent="0.25">
      <c r="A561" s="27" t="s">
        <v>782</v>
      </c>
      <c r="B561" s="27" t="s">
        <v>111</v>
      </c>
      <c r="C561" s="27">
        <v>0</v>
      </c>
      <c r="D561" s="28">
        <v>43355</v>
      </c>
      <c r="E561" s="27">
        <v>-1545.67</v>
      </c>
      <c r="F561" s="27" t="s">
        <v>1912</v>
      </c>
      <c r="G561" s="27" t="s">
        <v>1913</v>
      </c>
      <c r="H561" s="27" t="s">
        <v>106</v>
      </c>
      <c r="I561" s="27">
        <v>1</v>
      </c>
    </row>
    <row r="562" spans="1:9" x14ac:dyDescent="0.25">
      <c r="A562" s="27" t="s">
        <v>782</v>
      </c>
      <c r="B562" s="27" t="s">
        <v>111</v>
      </c>
      <c r="C562" s="27">
        <v>0</v>
      </c>
      <c r="D562" s="28">
        <v>43361</v>
      </c>
      <c r="E562" s="27">
        <v>397.14</v>
      </c>
      <c r="F562" s="27" t="s">
        <v>1914</v>
      </c>
      <c r="G562" s="27" t="s">
        <v>1915</v>
      </c>
      <c r="H562" s="27" t="s">
        <v>106</v>
      </c>
      <c r="I562" s="27">
        <v>1</v>
      </c>
    </row>
    <row r="563" spans="1:9" x14ac:dyDescent="0.25">
      <c r="A563" s="27" t="s">
        <v>782</v>
      </c>
      <c r="B563" s="27" t="s">
        <v>111</v>
      </c>
      <c r="C563" s="27">
        <v>0</v>
      </c>
      <c r="D563" s="28">
        <v>43362</v>
      </c>
      <c r="E563" s="27">
        <v>344.71</v>
      </c>
      <c r="F563" s="27" t="s">
        <v>1916</v>
      </c>
      <c r="G563" s="27" t="s">
        <v>1917</v>
      </c>
      <c r="H563" s="27" t="s">
        <v>106</v>
      </c>
      <c r="I563" s="27">
        <v>1</v>
      </c>
    </row>
    <row r="564" spans="1:9" x14ac:dyDescent="0.25">
      <c r="A564" s="27" t="s">
        <v>782</v>
      </c>
      <c r="B564" s="27" t="s">
        <v>111</v>
      </c>
      <c r="C564" s="27">
        <v>0</v>
      </c>
      <c r="D564" s="28">
        <v>43363</v>
      </c>
      <c r="E564" s="27">
        <v>-970.61</v>
      </c>
      <c r="F564" s="27" t="s">
        <v>1918</v>
      </c>
      <c r="G564" s="27" t="s">
        <v>1919</v>
      </c>
      <c r="H564" s="27" t="s">
        <v>106</v>
      </c>
      <c r="I564" s="27">
        <v>1</v>
      </c>
    </row>
    <row r="565" spans="1:9" x14ac:dyDescent="0.25">
      <c r="A565" s="27" t="s">
        <v>782</v>
      </c>
      <c r="B565" s="27" t="s">
        <v>111</v>
      </c>
      <c r="C565" s="27">
        <v>0</v>
      </c>
      <c r="D565" s="28">
        <v>43370</v>
      </c>
      <c r="E565" s="27">
        <v>-1546.46</v>
      </c>
      <c r="F565" s="27" t="s">
        <v>1920</v>
      </c>
      <c r="G565" s="27" t="s">
        <v>1921</v>
      </c>
      <c r="H565" s="27" t="s">
        <v>106</v>
      </c>
      <c r="I565" s="27">
        <v>1</v>
      </c>
    </row>
    <row r="566" spans="1:9" x14ac:dyDescent="0.25">
      <c r="A566" s="27" t="s">
        <v>782</v>
      </c>
      <c r="B566" s="27" t="s">
        <v>111</v>
      </c>
      <c r="C566" s="27">
        <v>0</v>
      </c>
      <c r="D566" s="28">
        <v>43371</v>
      </c>
      <c r="E566" s="27">
        <v>3181.09</v>
      </c>
      <c r="F566" s="27" t="s">
        <v>1922</v>
      </c>
      <c r="G566" s="27" t="s">
        <v>1923</v>
      </c>
      <c r="H566" s="27" t="s">
        <v>106</v>
      </c>
      <c r="I566" s="27">
        <v>1</v>
      </c>
    </row>
    <row r="567" spans="1:9" x14ac:dyDescent="0.25">
      <c r="A567" s="27" t="s">
        <v>782</v>
      </c>
      <c r="B567" s="27" t="s">
        <v>111</v>
      </c>
      <c r="C567" s="27">
        <v>0</v>
      </c>
      <c r="D567" s="28">
        <v>43375</v>
      </c>
      <c r="E567" s="27">
        <v>-1317.71</v>
      </c>
      <c r="F567" s="27" t="s">
        <v>1924</v>
      </c>
      <c r="G567" s="27" t="s">
        <v>1925</v>
      </c>
      <c r="H567" s="27" t="s">
        <v>106</v>
      </c>
      <c r="I567" s="27">
        <v>1</v>
      </c>
    </row>
    <row r="568" spans="1:9" x14ac:dyDescent="0.25">
      <c r="A568" s="27" t="s">
        <v>782</v>
      </c>
      <c r="B568" s="27" t="s">
        <v>111</v>
      </c>
      <c r="C568" s="27">
        <v>0</v>
      </c>
      <c r="D568" s="28">
        <v>43378</v>
      </c>
      <c r="E568" s="27">
        <v>1625.1</v>
      </c>
      <c r="F568" s="27" t="s">
        <v>1926</v>
      </c>
      <c r="G568" s="27" t="s">
        <v>1927</v>
      </c>
      <c r="H568" s="27" t="s">
        <v>106</v>
      </c>
      <c r="I568" s="27">
        <v>1</v>
      </c>
    </row>
    <row r="569" spans="1:9" x14ac:dyDescent="0.25">
      <c r="A569" s="27" t="s">
        <v>782</v>
      </c>
      <c r="B569" s="27" t="s">
        <v>111</v>
      </c>
      <c r="C569" s="27">
        <v>0</v>
      </c>
      <c r="D569" s="28">
        <v>43381</v>
      </c>
      <c r="E569" s="27">
        <v>-2969.82</v>
      </c>
      <c r="F569" s="27" t="s">
        <v>1928</v>
      </c>
      <c r="G569" s="27" t="s">
        <v>1929</v>
      </c>
      <c r="H569" s="27" t="s">
        <v>106</v>
      </c>
      <c r="I569" s="27">
        <v>1</v>
      </c>
    </row>
    <row r="570" spans="1:9" x14ac:dyDescent="0.25">
      <c r="A570" s="27" t="s">
        <v>782</v>
      </c>
      <c r="B570" s="27" t="s">
        <v>111</v>
      </c>
      <c r="C570" s="27">
        <v>0</v>
      </c>
      <c r="D570" s="28">
        <v>43382</v>
      </c>
      <c r="E570" s="27">
        <v>2527.41</v>
      </c>
      <c r="F570" s="27" t="s">
        <v>1930</v>
      </c>
      <c r="G570" s="27" t="s">
        <v>1931</v>
      </c>
      <c r="H570" s="27" t="s">
        <v>106</v>
      </c>
      <c r="I570" s="27">
        <v>1</v>
      </c>
    </row>
    <row r="571" spans="1:9" x14ac:dyDescent="0.25">
      <c r="A571" s="27" t="s">
        <v>782</v>
      </c>
      <c r="B571" s="27" t="s">
        <v>111</v>
      </c>
      <c r="C571" s="27">
        <v>0</v>
      </c>
      <c r="D571" s="28">
        <v>43384</v>
      </c>
      <c r="E571" s="27">
        <v>635.41999999999996</v>
      </c>
      <c r="F571" s="27" t="s">
        <v>1932</v>
      </c>
      <c r="G571" s="27" t="s">
        <v>1933</v>
      </c>
      <c r="H571" s="27" t="s">
        <v>106</v>
      </c>
      <c r="I571" s="27">
        <v>1</v>
      </c>
    </row>
    <row r="572" spans="1:9" x14ac:dyDescent="0.25">
      <c r="A572" s="27" t="s">
        <v>782</v>
      </c>
      <c r="B572" s="27" t="s">
        <v>111</v>
      </c>
      <c r="C572" s="27">
        <v>0</v>
      </c>
      <c r="D572" s="28">
        <v>43389</v>
      </c>
      <c r="E572" s="27">
        <v>-417</v>
      </c>
      <c r="F572" s="27" t="s">
        <v>1934</v>
      </c>
      <c r="G572" s="27" t="s">
        <v>1935</v>
      </c>
      <c r="H572" s="27" t="s">
        <v>106</v>
      </c>
      <c r="I572" s="27">
        <v>1</v>
      </c>
    </row>
    <row r="573" spans="1:9" x14ac:dyDescent="0.25">
      <c r="A573" s="27" t="s">
        <v>782</v>
      </c>
      <c r="B573" s="27" t="s">
        <v>111</v>
      </c>
      <c r="C573" s="27">
        <v>0</v>
      </c>
      <c r="D573" s="28">
        <v>43390</v>
      </c>
      <c r="E573" s="27">
        <v>-4247.8100000000004</v>
      </c>
      <c r="F573" s="27" t="s">
        <v>1936</v>
      </c>
      <c r="G573" s="27" t="s">
        <v>1937</v>
      </c>
      <c r="H573" s="27" t="s">
        <v>106</v>
      </c>
      <c r="I573" s="27">
        <v>1</v>
      </c>
    </row>
    <row r="574" spans="1:9" x14ac:dyDescent="0.25">
      <c r="A574" s="27" t="s">
        <v>782</v>
      </c>
      <c r="B574" s="27" t="s">
        <v>111</v>
      </c>
      <c r="C574" s="27">
        <v>0</v>
      </c>
      <c r="D574" s="28">
        <v>43391</v>
      </c>
      <c r="E574" s="27">
        <v>4277.2</v>
      </c>
      <c r="F574" s="27" t="s">
        <v>1938</v>
      </c>
      <c r="G574" s="27" t="s">
        <v>1939</v>
      </c>
      <c r="H574" s="27" t="s">
        <v>106</v>
      </c>
      <c r="I574" s="27">
        <v>1</v>
      </c>
    </row>
    <row r="575" spans="1:9" x14ac:dyDescent="0.25">
      <c r="A575" s="27" t="s">
        <v>782</v>
      </c>
      <c r="B575" s="27" t="s">
        <v>111</v>
      </c>
      <c r="C575" s="27">
        <v>0</v>
      </c>
      <c r="D575" s="28">
        <v>43395</v>
      </c>
      <c r="E575" s="27">
        <v>-1677.52</v>
      </c>
      <c r="F575" s="27" t="s">
        <v>1940</v>
      </c>
      <c r="G575" s="27" t="s">
        <v>1941</v>
      </c>
      <c r="H575" s="27" t="s">
        <v>106</v>
      </c>
      <c r="I575" s="27">
        <v>1</v>
      </c>
    </row>
    <row r="576" spans="1:9" x14ac:dyDescent="0.25">
      <c r="A576" s="27" t="s">
        <v>782</v>
      </c>
      <c r="B576" s="27" t="s">
        <v>111</v>
      </c>
      <c r="C576" s="27">
        <v>0</v>
      </c>
      <c r="D576" s="28">
        <v>43398</v>
      </c>
      <c r="E576" s="27">
        <v>1856.23</v>
      </c>
      <c r="F576" s="27" t="s">
        <v>1942</v>
      </c>
      <c r="G576" s="27" t="s">
        <v>1943</v>
      </c>
      <c r="H576" s="27" t="s">
        <v>106</v>
      </c>
      <c r="I576" s="27">
        <v>1</v>
      </c>
    </row>
    <row r="577" spans="1:9" x14ac:dyDescent="0.25">
      <c r="A577" s="27" t="s">
        <v>782</v>
      </c>
      <c r="B577" s="27" t="s">
        <v>111</v>
      </c>
      <c r="C577" s="27">
        <v>0</v>
      </c>
      <c r="D577" s="28">
        <v>43402</v>
      </c>
      <c r="E577" s="27">
        <v>-188.24</v>
      </c>
      <c r="F577" s="27" t="s">
        <v>1944</v>
      </c>
      <c r="G577" s="27" t="s">
        <v>1945</v>
      </c>
      <c r="H577" s="27" t="s">
        <v>106</v>
      </c>
      <c r="I577" s="27">
        <v>1</v>
      </c>
    </row>
    <row r="578" spans="1:9" x14ac:dyDescent="0.25">
      <c r="A578" s="27" t="s">
        <v>782</v>
      </c>
      <c r="B578" s="27" t="s">
        <v>111</v>
      </c>
      <c r="C578" s="27">
        <v>0</v>
      </c>
      <c r="D578" s="28">
        <v>43404</v>
      </c>
      <c r="E578" s="27">
        <v>-2223.9899999999998</v>
      </c>
      <c r="F578" s="27" t="s">
        <v>1946</v>
      </c>
      <c r="G578" s="27" t="s">
        <v>1947</v>
      </c>
      <c r="H578" s="27" t="s">
        <v>106</v>
      </c>
      <c r="I578" s="27">
        <v>1</v>
      </c>
    </row>
    <row r="579" spans="1:9" x14ac:dyDescent="0.25">
      <c r="A579" s="27" t="s">
        <v>785</v>
      </c>
      <c r="B579" s="27" t="s">
        <v>111</v>
      </c>
      <c r="C579" s="27">
        <v>0</v>
      </c>
      <c r="D579" s="28">
        <v>43252</v>
      </c>
      <c r="E579" s="27">
        <v>-3971.41</v>
      </c>
      <c r="F579" s="27" t="s">
        <v>1948</v>
      </c>
      <c r="G579" s="27" t="s">
        <v>1949</v>
      </c>
      <c r="H579" s="27" t="s">
        <v>106</v>
      </c>
      <c r="I579" s="27">
        <v>2</v>
      </c>
    </row>
    <row r="580" spans="1:9" x14ac:dyDescent="0.25">
      <c r="A580" s="27" t="s">
        <v>785</v>
      </c>
      <c r="B580" s="27" t="s">
        <v>111</v>
      </c>
      <c r="C580" s="27">
        <v>0</v>
      </c>
      <c r="D580" s="28">
        <v>43265</v>
      </c>
      <c r="E580" s="27">
        <v>3177.13</v>
      </c>
      <c r="F580" s="27" t="s">
        <v>1950</v>
      </c>
      <c r="G580" s="27" t="s">
        <v>1951</v>
      </c>
      <c r="H580" s="27" t="s">
        <v>106</v>
      </c>
      <c r="I580" s="27">
        <v>3</v>
      </c>
    </row>
    <row r="581" spans="1:9" x14ac:dyDescent="0.25">
      <c r="A581" s="27" t="s">
        <v>785</v>
      </c>
      <c r="B581" s="27" t="s">
        <v>111</v>
      </c>
      <c r="C581" s="27">
        <v>0</v>
      </c>
      <c r="D581" s="28">
        <v>43280</v>
      </c>
      <c r="E581" s="27">
        <v>-794.28</v>
      </c>
      <c r="F581" s="27" t="s">
        <v>1952</v>
      </c>
      <c r="G581" s="27" t="s">
        <v>1953</v>
      </c>
      <c r="H581" s="27" t="s">
        <v>106</v>
      </c>
      <c r="I581" s="27">
        <v>3</v>
      </c>
    </row>
    <row r="582" spans="1:9" x14ac:dyDescent="0.25">
      <c r="A582" s="27" t="s">
        <v>785</v>
      </c>
      <c r="B582" s="27" t="s">
        <v>111</v>
      </c>
      <c r="C582" s="27">
        <v>0</v>
      </c>
      <c r="D582" s="28">
        <v>43315</v>
      </c>
      <c r="E582" s="27">
        <v>-1588.56</v>
      </c>
      <c r="F582" s="27" t="s">
        <v>1954</v>
      </c>
      <c r="G582" s="27" t="s">
        <v>1955</v>
      </c>
      <c r="H582" s="27" t="s">
        <v>106</v>
      </c>
      <c r="I582" s="27">
        <v>3</v>
      </c>
    </row>
    <row r="583" spans="1:9" x14ac:dyDescent="0.25">
      <c r="A583" s="27" t="s">
        <v>785</v>
      </c>
      <c r="B583" s="27" t="s">
        <v>111</v>
      </c>
      <c r="C583" s="27">
        <v>0</v>
      </c>
      <c r="D583" s="28">
        <v>43325</v>
      </c>
      <c r="E583" s="27">
        <v>2621.12</v>
      </c>
      <c r="F583" s="27" t="s">
        <v>1956</v>
      </c>
      <c r="G583" s="27" t="s">
        <v>1957</v>
      </c>
      <c r="H583" s="27" t="s">
        <v>106</v>
      </c>
      <c r="I583" s="27">
        <v>3</v>
      </c>
    </row>
    <row r="584" spans="1:9" x14ac:dyDescent="0.25">
      <c r="A584" s="27" t="s">
        <v>788</v>
      </c>
      <c r="B584" s="27" t="s">
        <v>111</v>
      </c>
      <c r="C584" s="27">
        <v>0</v>
      </c>
      <c r="D584" s="28">
        <v>43257</v>
      </c>
      <c r="E584" s="27">
        <v>78474.98</v>
      </c>
      <c r="F584" s="27" t="s">
        <v>1958</v>
      </c>
      <c r="G584" s="27" t="s">
        <v>1959</v>
      </c>
      <c r="H584" s="27" t="s">
        <v>106</v>
      </c>
      <c r="I584" s="27">
        <v>1</v>
      </c>
    </row>
    <row r="585" spans="1:9" x14ac:dyDescent="0.25">
      <c r="A585" s="27" t="s">
        <v>788</v>
      </c>
      <c r="B585" s="27" t="s">
        <v>111</v>
      </c>
      <c r="C585" s="27">
        <v>0</v>
      </c>
      <c r="D585" s="28">
        <v>43277</v>
      </c>
      <c r="E585" s="27">
        <v>190706.91</v>
      </c>
      <c r="F585" s="27" t="s">
        <v>1960</v>
      </c>
      <c r="G585" s="27" t="s">
        <v>1961</v>
      </c>
      <c r="H585" s="27" t="s">
        <v>106</v>
      </c>
      <c r="I585" s="27">
        <v>1</v>
      </c>
    </row>
    <row r="586" spans="1:9" x14ac:dyDescent="0.25">
      <c r="A586" s="27" t="s">
        <v>788</v>
      </c>
      <c r="B586" s="27" t="s">
        <v>111</v>
      </c>
      <c r="C586" s="27">
        <v>0</v>
      </c>
      <c r="D586" s="28">
        <v>43300</v>
      </c>
      <c r="E586" s="27">
        <v>-228594.12</v>
      </c>
      <c r="F586" s="27" t="s">
        <v>1962</v>
      </c>
      <c r="G586" s="27" t="s">
        <v>1963</v>
      </c>
      <c r="H586" s="27" t="s">
        <v>106</v>
      </c>
      <c r="I586" s="27">
        <v>1</v>
      </c>
    </row>
    <row r="587" spans="1:9" x14ac:dyDescent="0.25">
      <c r="A587" s="27" t="s">
        <v>788</v>
      </c>
      <c r="B587" s="27" t="s">
        <v>111</v>
      </c>
      <c r="C587" s="27">
        <v>0</v>
      </c>
      <c r="D587" s="28">
        <v>43315</v>
      </c>
      <c r="E587" s="27">
        <v>161159.65</v>
      </c>
      <c r="F587" s="27" t="s">
        <v>1964</v>
      </c>
      <c r="G587" s="27" t="s">
        <v>1965</v>
      </c>
      <c r="H587" s="27" t="s">
        <v>106</v>
      </c>
      <c r="I587" s="27">
        <v>1</v>
      </c>
    </row>
    <row r="588" spans="1:9" x14ac:dyDescent="0.25">
      <c r="A588" s="27" t="s">
        <v>788</v>
      </c>
      <c r="B588" s="27" t="s">
        <v>111</v>
      </c>
      <c r="C588" s="27">
        <v>0</v>
      </c>
      <c r="D588" s="28">
        <v>43360</v>
      </c>
      <c r="E588" s="27">
        <v>63145.35</v>
      </c>
      <c r="F588" s="27" t="s">
        <v>1966</v>
      </c>
      <c r="G588" s="27" t="s">
        <v>1967</v>
      </c>
      <c r="H588" s="27" t="s">
        <v>106</v>
      </c>
      <c r="I588" s="27">
        <v>1</v>
      </c>
    </row>
    <row r="589" spans="1:9" x14ac:dyDescent="0.25">
      <c r="A589" s="27" t="s">
        <v>788</v>
      </c>
      <c r="B589" s="27" t="s">
        <v>111</v>
      </c>
      <c r="C589" s="27">
        <v>0</v>
      </c>
      <c r="D589" s="28">
        <v>43383</v>
      </c>
      <c r="E589" s="27">
        <v>-200953.14</v>
      </c>
      <c r="F589" s="27" t="s">
        <v>1968</v>
      </c>
      <c r="G589" s="27" t="s">
        <v>1969</v>
      </c>
      <c r="H589" s="27" t="s">
        <v>106</v>
      </c>
      <c r="I589" s="27">
        <v>1</v>
      </c>
    </row>
    <row r="590" spans="1:9" x14ac:dyDescent="0.25">
      <c r="A590" s="27" t="s">
        <v>788</v>
      </c>
      <c r="B590" s="27" t="s">
        <v>111</v>
      </c>
      <c r="C590" s="27">
        <v>0</v>
      </c>
      <c r="D590" s="28">
        <v>43403</v>
      </c>
      <c r="E590" s="27">
        <v>359968.23</v>
      </c>
      <c r="F590" s="27" t="s">
        <v>1970</v>
      </c>
      <c r="G590" s="27" t="s">
        <v>1971</v>
      </c>
      <c r="H590" s="27" t="s">
        <v>106</v>
      </c>
      <c r="I590" s="27">
        <v>1</v>
      </c>
    </row>
  </sheetData>
  <autoFilter ref="A1:J590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P11:Q17"/>
  <sheetViews>
    <sheetView topLeftCell="A7" workbookViewId="0">
      <selection activeCell="O21" sqref="O21"/>
    </sheetView>
  </sheetViews>
  <sheetFormatPr defaultColWidth="8.85546875" defaultRowHeight="15" x14ac:dyDescent="0.25"/>
  <sheetData>
    <row r="11" spans="16:17" x14ac:dyDescent="0.25">
      <c r="P11" s="19">
        <v>0.7284722222222223</v>
      </c>
    </row>
    <row r="12" spans="16:17" x14ac:dyDescent="0.25">
      <c r="P12" s="19">
        <v>0.67291666666666661</v>
      </c>
    </row>
    <row r="13" spans="16:17" x14ac:dyDescent="0.25">
      <c r="P13" s="19">
        <f>P11-P12</f>
        <v>5.5555555555555691E-2</v>
      </c>
      <c r="Q13" s="19"/>
    </row>
    <row r="16" spans="16:17" x14ac:dyDescent="0.25">
      <c r="P16">
        <v>4800</v>
      </c>
    </row>
    <row r="17" spans="16:17" x14ac:dyDescent="0.25">
      <c r="P17">
        <v>2723</v>
      </c>
      <c r="Q17">
        <f>P16/P17</f>
        <v>1.7627616599338964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V242"/>
  <sheetViews>
    <sheetView workbookViewId="0">
      <pane ySplit="1" topLeftCell="A2" activePane="bottomLeft" state="frozen"/>
      <selection pane="bottomLeft" activeCell="I5" sqref="I5"/>
    </sheetView>
  </sheetViews>
  <sheetFormatPr defaultColWidth="16" defaultRowHeight="15" x14ac:dyDescent="0.25"/>
  <cols>
    <col min="1" max="16384" width="16" style="8"/>
  </cols>
  <sheetData>
    <row r="1" spans="1:22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22</v>
      </c>
      <c r="J1" s="9" t="s">
        <v>23</v>
      </c>
      <c r="K1" s="9" t="s">
        <v>24</v>
      </c>
      <c r="L1" s="9" t="s">
        <v>3</v>
      </c>
      <c r="M1" s="9" t="s">
        <v>26</v>
      </c>
      <c r="N1" s="9" t="s">
        <v>29</v>
      </c>
      <c r="O1" s="9" t="s">
        <v>31</v>
      </c>
      <c r="P1" s="9" t="s">
        <v>32</v>
      </c>
      <c r="Q1" s="9" t="s">
        <v>33</v>
      </c>
      <c r="R1" s="9" t="s">
        <v>34</v>
      </c>
      <c r="S1" s="9" t="s">
        <v>35</v>
      </c>
      <c r="T1" s="9" t="s">
        <v>37</v>
      </c>
      <c r="U1" s="9" t="s">
        <v>38</v>
      </c>
      <c r="V1" s="9" t="s">
        <v>39</v>
      </c>
    </row>
    <row r="2" spans="1:22" x14ac:dyDescent="0.25">
      <c r="A2" s="8" t="str">
        <f>F2</f>
        <v>ABC1236</v>
      </c>
      <c r="B2" s="5" t="s">
        <v>1</v>
      </c>
      <c r="C2" s="5"/>
      <c r="D2" s="5">
        <v>0</v>
      </c>
      <c r="E2" s="10" t="s">
        <v>27</v>
      </c>
      <c r="F2" s="5" t="s">
        <v>50</v>
      </c>
      <c r="G2" s="8">
        <v>100131376</v>
      </c>
      <c r="H2" s="8" t="s">
        <v>19</v>
      </c>
      <c r="I2" s="8">
        <v>5</v>
      </c>
      <c r="J2" s="8" t="s">
        <v>5</v>
      </c>
      <c r="K2" s="8">
        <v>5000000</v>
      </c>
      <c r="L2" s="8" t="s">
        <v>25</v>
      </c>
      <c r="M2" s="8" t="s">
        <v>28</v>
      </c>
      <c r="N2" s="8" t="s">
        <v>30</v>
      </c>
      <c r="O2" s="8" t="s">
        <v>4</v>
      </c>
      <c r="P2" s="8" t="s">
        <v>8</v>
      </c>
      <c r="R2" s="8" t="s">
        <v>36</v>
      </c>
      <c r="S2" s="8" t="str">
        <f>"$" &amp; A2</f>
        <v>$ABC1236</v>
      </c>
      <c r="T2" s="8" t="str">
        <f>"$" &amp; A2</f>
        <v>$ABC1236</v>
      </c>
      <c r="U2" s="8" t="str">
        <f>"$" &amp; A2</f>
        <v>$ABC1236</v>
      </c>
      <c r="V2" s="8" t="s">
        <v>40</v>
      </c>
    </row>
    <row r="3" spans="1:22" x14ac:dyDescent="0.25">
      <c r="A3" s="8" t="str">
        <f t="shared" ref="A3:A4" si="0">F3</f>
        <v>ABC1237</v>
      </c>
      <c r="B3" s="5" t="s">
        <v>1</v>
      </c>
      <c r="C3" s="5"/>
      <c r="D3" s="5">
        <v>0</v>
      </c>
      <c r="E3" s="10" t="s">
        <v>27</v>
      </c>
      <c r="F3" s="5" t="s">
        <v>51</v>
      </c>
      <c r="G3" s="8">
        <v>100131376</v>
      </c>
      <c r="H3" s="8" t="s">
        <v>49</v>
      </c>
      <c r="I3" s="8">
        <v>5</v>
      </c>
      <c r="J3" s="8" t="s">
        <v>5</v>
      </c>
      <c r="K3" s="8">
        <v>5000000</v>
      </c>
      <c r="L3" s="8" t="s">
        <v>25</v>
      </c>
      <c r="M3" s="8" t="s">
        <v>28</v>
      </c>
      <c r="N3" s="8" t="s">
        <v>30</v>
      </c>
      <c r="O3" s="8" t="s">
        <v>4</v>
      </c>
      <c r="P3" s="8" t="s">
        <v>8</v>
      </c>
      <c r="R3" s="8" t="s">
        <v>36</v>
      </c>
      <c r="S3" s="8" t="str">
        <f>"$" &amp; A3</f>
        <v>$ABC1237</v>
      </c>
      <c r="T3" s="8" t="str">
        <f>"$" &amp; A3</f>
        <v>$ABC1237</v>
      </c>
      <c r="U3" s="8" t="str">
        <f>"$" &amp; A3</f>
        <v>$ABC1237</v>
      </c>
      <c r="V3" s="8" t="s">
        <v>40</v>
      </c>
    </row>
    <row r="4" spans="1:22" x14ac:dyDescent="0.25">
      <c r="A4" s="8" t="str">
        <f t="shared" si="0"/>
        <v>ABC1238</v>
      </c>
      <c r="B4" s="5" t="s">
        <v>1</v>
      </c>
      <c r="C4" s="5"/>
      <c r="D4" s="5">
        <v>0</v>
      </c>
      <c r="E4" s="10" t="s">
        <v>27</v>
      </c>
      <c r="F4" s="5" t="s">
        <v>52</v>
      </c>
      <c r="G4" s="8">
        <v>100131376</v>
      </c>
      <c r="H4" s="8" t="s">
        <v>49</v>
      </c>
      <c r="I4" s="8">
        <v>3</v>
      </c>
      <c r="J4" s="8" t="s">
        <v>5</v>
      </c>
      <c r="K4" s="8">
        <v>5000000</v>
      </c>
      <c r="L4" s="8" t="s">
        <v>25</v>
      </c>
      <c r="M4" s="8" t="s">
        <v>28</v>
      </c>
      <c r="N4" s="8" t="s">
        <v>30</v>
      </c>
      <c r="O4" s="8" t="s">
        <v>4</v>
      </c>
      <c r="P4" s="8" t="s">
        <v>9</v>
      </c>
      <c r="R4" s="8" t="s">
        <v>36</v>
      </c>
      <c r="S4" s="8" t="str">
        <f>"$" &amp; A4</f>
        <v>$ABC1238</v>
      </c>
      <c r="T4" s="8" t="str">
        <f>"$" &amp; A4</f>
        <v>$ABC1238</v>
      </c>
      <c r="U4" s="8" t="str">
        <f>"$" &amp; A4</f>
        <v>$ABC1238</v>
      </c>
      <c r="V4" s="8" t="s">
        <v>40</v>
      </c>
    </row>
    <row r="5" spans="1:22" x14ac:dyDescent="0.25">
      <c r="B5" s="5"/>
      <c r="C5" s="5"/>
      <c r="D5" s="5"/>
      <c r="E5" s="10"/>
      <c r="F5" s="5"/>
    </row>
    <row r="6" spans="1:22" x14ac:dyDescent="0.25">
      <c r="B6" s="5"/>
      <c r="C6" s="5"/>
      <c r="D6" s="5"/>
      <c r="E6" s="10"/>
      <c r="F6" s="5"/>
    </row>
    <row r="7" spans="1:22" x14ac:dyDescent="0.25">
      <c r="B7" s="5"/>
      <c r="C7" s="5"/>
      <c r="D7" s="5"/>
      <c r="E7" s="10"/>
      <c r="F7" s="5"/>
    </row>
    <row r="8" spans="1:22" x14ac:dyDescent="0.25">
      <c r="B8" s="5"/>
      <c r="C8" s="5"/>
      <c r="D8" s="5"/>
      <c r="E8" s="10"/>
      <c r="F8" s="5"/>
    </row>
    <row r="9" spans="1:22" x14ac:dyDescent="0.25">
      <c r="B9" s="5"/>
      <c r="C9" s="5"/>
      <c r="D9" s="5"/>
      <c r="E9" s="10"/>
      <c r="F9" s="5"/>
    </row>
    <row r="10" spans="1:22" x14ac:dyDescent="0.25">
      <c r="B10" s="5"/>
      <c r="C10" s="5"/>
      <c r="D10" s="5"/>
      <c r="E10" s="10"/>
      <c r="F10" s="5"/>
    </row>
    <row r="11" spans="1:22" x14ac:dyDescent="0.25">
      <c r="B11" s="5"/>
      <c r="C11" s="5"/>
      <c r="D11" s="5"/>
      <c r="E11" s="10"/>
      <c r="F11" s="5"/>
    </row>
    <row r="12" spans="1:22" x14ac:dyDescent="0.25">
      <c r="B12" s="5"/>
      <c r="C12" s="5"/>
      <c r="D12" s="5"/>
      <c r="E12" s="10"/>
      <c r="F12" s="5"/>
    </row>
    <row r="13" spans="1:22" x14ac:dyDescent="0.25">
      <c r="B13" s="5"/>
      <c r="C13" s="5"/>
      <c r="D13" s="5"/>
      <c r="E13" s="10"/>
      <c r="F13" s="5"/>
    </row>
    <row r="14" spans="1:22" x14ac:dyDescent="0.25">
      <c r="B14" s="5"/>
      <c r="C14" s="5"/>
      <c r="D14" s="5"/>
      <c r="E14" s="10"/>
      <c r="F14" s="5"/>
    </row>
    <row r="15" spans="1:22" x14ac:dyDescent="0.25">
      <c r="B15" s="5"/>
      <c r="C15" s="5"/>
      <c r="D15" s="5"/>
      <c r="E15" s="10"/>
      <c r="F15" s="5"/>
    </row>
    <row r="16" spans="1:22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honeticPr fontId="3" type="noConversion"/>
  <pageMargins left="0.7" right="0.7" top="0.75" bottom="0.75" header="0.3" footer="0.3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242"/>
  <sheetViews>
    <sheetView topLeftCell="L1" workbookViewId="0">
      <pane ySplit="1" topLeftCell="A2" activePane="bottomLeft" state="frozen"/>
      <selection pane="bottomLeft" activeCell="V2" sqref="V2"/>
    </sheetView>
  </sheetViews>
  <sheetFormatPr defaultColWidth="16" defaultRowHeight="15" x14ac:dyDescent="0.25"/>
  <cols>
    <col min="1" max="16384" width="16" style="8"/>
  </cols>
  <sheetData>
    <row r="1" spans="1:23" x14ac:dyDescent="0.25">
      <c r="A1" s="9" t="s">
        <v>10</v>
      </c>
      <c r="B1" s="9" t="s">
        <v>6</v>
      </c>
      <c r="C1" s="9" t="s">
        <v>11</v>
      </c>
      <c r="D1" s="9" t="s">
        <v>12</v>
      </c>
      <c r="E1" s="9" t="s">
        <v>13</v>
      </c>
      <c r="F1" s="9" t="s">
        <v>14</v>
      </c>
      <c r="G1" s="9" t="s">
        <v>16</v>
      </c>
      <c r="H1" s="9" t="s">
        <v>18</v>
      </c>
      <c r="I1" s="9" t="s">
        <v>20</v>
      </c>
      <c r="J1" s="9" t="s">
        <v>22</v>
      </c>
      <c r="K1" s="9" t="s">
        <v>23</v>
      </c>
      <c r="L1" s="9" t="s">
        <v>24</v>
      </c>
      <c r="M1" s="9" t="s">
        <v>3</v>
      </c>
      <c r="N1" s="9" t="s">
        <v>26</v>
      </c>
      <c r="O1" s="9" t="s">
        <v>29</v>
      </c>
      <c r="P1" s="9" t="s">
        <v>31</v>
      </c>
      <c r="Q1" s="9" t="s">
        <v>32</v>
      </c>
      <c r="R1" s="9" t="s">
        <v>33</v>
      </c>
      <c r="S1" s="9" t="s">
        <v>34</v>
      </c>
      <c r="T1" s="9" t="s">
        <v>35</v>
      </c>
      <c r="U1" s="9" t="s">
        <v>37</v>
      </c>
      <c r="V1" s="9" t="s">
        <v>38</v>
      </c>
      <c r="W1" s="9" t="s">
        <v>39</v>
      </c>
    </row>
    <row r="2" spans="1:23" x14ac:dyDescent="0.25">
      <c r="A2" s="8" t="str">
        <f>F2</f>
        <v>ABC1234</v>
      </c>
      <c r="B2" s="5" t="s">
        <v>1</v>
      </c>
      <c r="C2" s="5"/>
      <c r="D2" s="5">
        <v>0</v>
      </c>
      <c r="E2" s="10" t="s">
        <v>27</v>
      </c>
      <c r="F2" s="5" t="s">
        <v>15</v>
      </c>
      <c r="G2" s="8" t="s">
        <v>17</v>
      </c>
      <c r="H2" s="8" t="s">
        <v>19</v>
      </c>
      <c r="I2" s="8" t="s">
        <v>21</v>
      </c>
      <c r="J2" s="8">
        <v>5</v>
      </c>
      <c r="K2" s="8" t="s">
        <v>5</v>
      </c>
      <c r="L2" s="8">
        <v>5000000</v>
      </c>
      <c r="M2" s="8" t="s">
        <v>25</v>
      </c>
      <c r="N2" s="8" t="s">
        <v>28</v>
      </c>
      <c r="O2" s="8" t="s">
        <v>30</v>
      </c>
      <c r="P2" s="8" t="s">
        <v>4</v>
      </c>
      <c r="Q2" s="8" t="s">
        <v>7</v>
      </c>
      <c r="S2" s="8" t="s">
        <v>36</v>
      </c>
      <c r="W2" s="8" t="s">
        <v>40</v>
      </c>
    </row>
    <row r="3" spans="1:23" x14ac:dyDescent="0.25">
      <c r="A3" s="8" t="s">
        <v>41</v>
      </c>
      <c r="B3" s="5" t="s">
        <v>1</v>
      </c>
      <c r="C3" s="5"/>
      <c r="D3" s="5">
        <v>0</v>
      </c>
      <c r="E3" s="10" t="s">
        <v>27</v>
      </c>
      <c r="F3" s="5" t="s">
        <v>41</v>
      </c>
      <c r="G3" s="8" t="s">
        <v>17</v>
      </c>
      <c r="H3" s="8" t="s">
        <v>19</v>
      </c>
      <c r="I3" s="8" t="s">
        <v>21</v>
      </c>
      <c r="J3" s="8">
        <v>5</v>
      </c>
      <c r="K3" s="8" t="s">
        <v>5</v>
      </c>
      <c r="L3" s="8">
        <v>5000000</v>
      </c>
      <c r="M3" s="8" t="s">
        <v>25</v>
      </c>
      <c r="N3" s="8" t="s">
        <v>28</v>
      </c>
      <c r="O3" s="8" t="s">
        <v>30</v>
      </c>
      <c r="P3" s="8" t="s">
        <v>4</v>
      </c>
      <c r="Q3" s="8" t="s">
        <v>7</v>
      </c>
      <c r="S3" s="8" t="s">
        <v>36</v>
      </c>
      <c r="W3" s="8" t="s">
        <v>40</v>
      </c>
    </row>
    <row r="4" spans="1:23" x14ac:dyDescent="0.25">
      <c r="B4" s="5"/>
      <c r="C4" s="5"/>
      <c r="D4" s="5"/>
      <c r="E4" s="10"/>
      <c r="F4" s="5"/>
    </row>
    <row r="5" spans="1:23" x14ac:dyDescent="0.25">
      <c r="B5" s="5"/>
      <c r="C5" s="5"/>
      <c r="D5" s="5"/>
      <c r="E5" s="10"/>
      <c r="F5" s="5"/>
    </row>
    <row r="6" spans="1:23" x14ac:dyDescent="0.25">
      <c r="B6" s="5"/>
      <c r="C6" s="5"/>
      <c r="D6" s="5"/>
      <c r="E6" s="10"/>
      <c r="F6" s="5"/>
    </row>
    <row r="7" spans="1:23" x14ac:dyDescent="0.25">
      <c r="B7" s="5"/>
      <c r="C7" s="5"/>
      <c r="D7" s="5"/>
      <c r="E7" s="10"/>
      <c r="F7" s="5"/>
    </row>
    <row r="8" spans="1:23" x14ac:dyDescent="0.25">
      <c r="B8" s="5"/>
      <c r="C8" s="5"/>
      <c r="D8" s="5"/>
      <c r="E8" s="10"/>
      <c r="F8" s="5"/>
    </row>
    <row r="9" spans="1:23" x14ac:dyDescent="0.25">
      <c r="B9" s="5"/>
      <c r="C9" s="5"/>
      <c r="D9" s="5"/>
      <c r="E9" s="10"/>
      <c r="F9" s="5"/>
    </row>
    <row r="10" spans="1:23" x14ac:dyDescent="0.25">
      <c r="B10" s="5"/>
      <c r="C10" s="5"/>
      <c r="D10" s="5"/>
      <c r="E10" s="10"/>
      <c r="F10" s="5"/>
    </row>
    <row r="11" spans="1:23" x14ac:dyDescent="0.25">
      <c r="B11" s="5"/>
      <c r="C11" s="5"/>
      <c r="D11" s="5"/>
      <c r="E11" s="10"/>
      <c r="F11" s="5"/>
    </row>
    <row r="12" spans="1:23" x14ac:dyDescent="0.25">
      <c r="B12" s="5"/>
      <c r="C12" s="5"/>
      <c r="D12" s="5"/>
      <c r="E12" s="10"/>
      <c r="F12" s="5"/>
    </row>
    <row r="13" spans="1:23" x14ac:dyDescent="0.25">
      <c r="B13" s="5"/>
      <c r="C13" s="5"/>
      <c r="D13" s="5"/>
      <c r="E13" s="10"/>
      <c r="F13" s="5"/>
    </row>
    <row r="14" spans="1:23" x14ac:dyDescent="0.25">
      <c r="B14" s="5"/>
      <c r="C14" s="5"/>
      <c r="D14" s="5"/>
      <c r="E14" s="10"/>
      <c r="F14" s="5"/>
    </row>
    <row r="15" spans="1:23" x14ac:dyDescent="0.25">
      <c r="B15" s="5"/>
      <c r="C15" s="5"/>
      <c r="D15" s="5"/>
      <c r="E15" s="10"/>
      <c r="F15" s="5"/>
    </row>
    <row r="16" spans="1:23" x14ac:dyDescent="0.25">
      <c r="B16" s="5"/>
      <c r="C16" s="5"/>
      <c r="D16" s="5"/>
      <c r="E16" s="10"/>
      <c r="F16" s="5"/>
    </row>
    <row r="17" spans="2:6" x14ac:dyDescent="0.25">
      <c r="B17" s="5"/>
      <c r="C17" s="5"/>
      <c r="D17" s="5"/>
      <c r="E17" s="10"/>
      <c r="F17" s="5"/>
    </row>
    <row r="18" spans="2:6" x14ac:dyDescent="0.25">
      <c r="B18" s="5"/>
      <c r="C18" s="5"/>
      <c r="D18" s="5"/>
      <c r="E18" s="10"/>
      <c r="F18" s="5"/>
    </row>
    <row r="19" spans="2:6" x14ac:dyDescent="0.25">
      <c r="B19" s="5"/>
      <c r="C19" s="5"/>
      <c r="D19" s="5"/>
      <c r="E19" s="10"/>
      <c r="F19" s="5"/>
    </row>
    <row r="20" spans="2:6" x14ac:dyDescent="0.25">
      <c r="B20" s="5"/>
      <c r="C20" s="5"/>
      <c r="D20" s="5"/>
      <c r="E20" s="10"/>
      <c r="F20" s="5"/>
    </row>
    <row r="21" spans="2:6" x14ac:dyDescent="0.25">
      <c r="B21" s="5"/>
      <c r="C21" s="5"/>
      <c r="D21" s="5"/>
      <c r="E21" s="10"/>
      <c r="F21" s="5"/>
    </row>
    <row r="22" spans="2:6" x14ac:dyDescent="0.25">
      <c r="B22" s="5"/>
      <c r="C22" s="5"/>
      <c r="D22" s="5"/>
      <c r="E22" s="10"/>
      <c r="F22" s="5"/>
    </row>
    <row r="23" spans="2:6" x14ac:dyDescent="0.25">
      <c r="B23" s="5"/>
      <c r="C23" s="5"/>
      <c r="D23" s="5"/>
      <c r="E23" s="10"/>
      <c r="F23" s="5"/>
    </row>
    <row r="24" spans="2:6" x14ac:dyDescent="0.25">
      <c r="B24" s="5"/>
      <c r="C24" s="5"/>
      <c r="D24" s="5"/>
      <c r="E24" s="10"/>
      <c r="F24" s="5"/>
    </row>
    <row r="25" spans="2:6" x14ac:dyDescent="0.25">
      <c r="B25" s="5"/>
      <c r="C25" s="5"/>
      <c r="D25" s="5"/>
      <c r="E25" s="10"/>
      <c r="F25" s="5"/>
    </row>
    <row r="26" spans="2:6" x14ac:dyDescent="0.25">
      <c r="B26" s="5"/>
      <c r="C26" s="5"/>
      <c r="D26" s="5"/>
      <c r="E26" s="10"/>
      <c r="F26" s="5"/>
    </row>
    <row r="27" spans="2:6" x14ac:dyDescent="0.25">
      <c r="B27" s="5"/>
      <c r="C27" s="5"/>
      <c r="D27" s="5"/>
      <c r="E27" s="10"/>
      <c r="F27" s="5"/>
    </row>
    <row r="28" spans="2:6" x14ac:dyDescent="0.25">
      <c r="B28" s="5"/>
      <c r="C28" s="5"/>
      <c r="D28" s="5"/>
      <c r="E28" s="10"/>
      <c r="F28" s="5"/>
    </row>
    <row r="29" spans="2:6" x14ac:dyDescent="0.25">
      <c r="B29" s="5"/>
      <c r="C29" s="5"/>
      <c r="D29" s="5"/>
      <c r="E29" s="10"/>
      <c r="F29" s="5"/>
    </row>
    <row r="30" spans="2:6" x14ac:dyDescent="0.25">
      <c r="B30" s="5"/>
      <c r="C30" s="5"/>
      <c r="D30" s="5"/>
      <c r="E30" s="10"/>
      <c r="F30" s="5"/>
    </row>
    <row r="31" spans="2:6" x14ac:dyDescent="0.25">
      <c r="B31" s="5"/>
      <c r="C31" s="5"/>
      <c r="D31" s="5"/>
      <c r="E31" s="10"/>
      <c r="F31" s="5"/>
    </row>
    <row r="32" spans="2:6" x14ac:dyDescent="0.25">
      <c r="B32" s="5"/>
      <c r="C32" s="5"/>
      <c r="D32" s="5"/>
      <c r="E32" s="10"/>
      <c r="F32" s="5"/>
    </row>
    <row r="33" spans="2:6" x14ac:dyDescent="0.25">
      <c r="B33" s="5"/>
      <c r="C33" s="5"/>
      <c r="D33" s="5"/>
      <c r="E33" s="10"/>
      <c r="F33" s="5"/>
    </row>
    <row r="34" spans="2:6" x14ac:dyDescent="0.25">
      <c r="B34" s="5"/>
      <c r="C34" s="5"/>
      <c r="D34" s="5"/>
      <c r="E34" s="10"/>
      <c r="F34" s="5"/>
    </row>
    <row r="35" spans="2:6" x14ac:dyDescent="0.25">
      <c r="B35" s="5"/>
      <c r="C35" s="5"/>
      <c r="D35" s="5"/>
      <c r="E35" s="10"/>
      <c r="F35" s="5"/>
    </row>
    <row r="36" spans="2:6" x14ac:dyDescent="0.25">
      <c r="B36" s="5"/>
      <c r="C36" s="5"/>
      <c r="D36" s="5"/>
      <c r="E36" s="10"/>
      <c r="F36" s="5"/>
    </row>
    <row r="37" spans="2:6" x14ac:dyDescent="0.25">
      <c r="B37" s="5"/>
      <c r="C37" s="5"/>
      <c r="D37" s="5"/>
      <c r="E37" s="10"/>
      <c r="F37" s="5"/>
    </row>
    <row r="38" spans="2:6" x14ac:dyDescent="0.25">
      <c r="B38" s="5"/>
      <c r="C38" s="5"/>
      <c r="D38" s="5"/>
      <c r="E38" s="10"/>
      <c r="F38" s="5"/>
    </row>
    <row r="39" spans="2:6" x14ac:dyDescent="0.25">
      <c r="B39" s="5"/>
      <c r="C39" s="5"/>
      <c r="D39" s="5"/>
      <c r="E39" s="10"/>
      <c r="F39" s="5"/>
    </row>
    <row r="40" spans="2:6" x14ac:dyDescent="0.25">
      <c r="B40" s="5"/>
      <c r="C40" s="5"/>
      <c r="D40" s="5"/>
      <c r="E40" s="10"/>
      <c r="F40" s="5"/>
    </row>
    <row r="41" spans="2:6" x14ac:dyDescent="0.25">
      <c r="B41" s="5"/>
      <c r="C41" s="5"/>
      <c r="D41" s="5"/>
      <c r="E41" s="10"/>
      <c r="F41" s="5"/>
    </row>
    <row r="42" spans="2:6" x14ac:dyDescent="0.25">
      <c r="B42" s="5"/>
      <c r="C42" s="5"/>
      <c r="D42" s="5"/>
      <c r="E42" s="10"/>
      <c r="F42" s="5"/>
    </row>
    <row r="43" spans="2:6" x14ac:dyDescent="0.25">
      <c r="B43" s="5"/>
      <c r="C43" s="5"/>
      <c r="D43" s="5"/>
      <c r="E43" s="10"/>
      <c r="F43" s="5"/>
    </row>
    <row r="44" spans="2:6" x14ac:dyDescent="0.25">
      <c r="B44" s="5"/>
      <c r="C44" s="5"/>
      <c r="D44" s="5"/>
      <c r="E44" s="10"/>
      <c r="F44" s="5"/>
    </row>
    <row r="45" spans="2:6" x14ac:dyDescent="0.25">
      <c r="B45" s="5"/>
      <c r="C45" s="5"/>
      <c r="D45" s="5"/>
      <c r="E45" s="10"/>
      <c r="F45" s="5"/>
    </row>
    <row r="46" spans="2:6" x14ac:dyDescent="0.25">
      <c r="B46" s="5"/>
      <c r="C46" s="5"/>
      <c r="D46" s="5"/>
      <c r="E46" s="10"/>
      <c r="F46" s="5"/>
    </row>
    <row r="47" spans="2:6" x14ac:dyDescent="0.25">
      <c r="B47" s="5"/>
      <c r="C47" s="5"/>
      <c r="D47" s="5"/>
      <c r="E47" s="10"/>
      <c r="F47" s="5"/>
    </row>
    <row r="48" spans="2:6" x14ac:dyDescent="0.25">
      <c r="B48" s="5"/>
      <c r="C48" s="5"/>
      <c r="D48" s="5"/>
      <c r="E48" s="10"/>
      <c r="F48" s="5"/>
    </row>
    <row r="49" spans="2:6" x14ac:dyDescent="0.25">
      <c r="B49" s="5"/>
      <c r="C49" s="5"/>
      <c r="D49" s="5"/>
      <c r="E49" s="10"/>
      <c r="F49" s="5"/>
    </row>
    <row r="50" spans="2:6" x14ac:dyDescent="0.25">
      <c r="B50" s="5"/>
      <c r="C50" s="5"/>
      <c r="D50" s="5"/>
      <c r="E50" s="10"/>
      <c r="F50" s="5"/>
    </row>
    <row r="51" spans="2:6" x14ac:dyDescent="0.25">
      <c r="B51" s="5"/>
      <c r="C51" s="5"/>
      <c r="D51" s="5"/>
      <c r="E51" s="10"/>
      <c r="F51" s="5"/>
    </row>
    <row r="52" spans="2:6" x14ac:dyDescent="0.25">
      <c r="B52" s="5"/>
      <c r="C52" s="5"/>
      <c r="D52" s="5"/>
      <c r="E52" s="10"/>
      <c r="F52" s="5"/>
    </row>
    <row r="53" spans="2:6" x14ac:dyDescent="0.25">
      <c r="B53" s="5"/>
      <c r="C53" s="5"/>
      <c r="D53" s="5"/>
      <c r="E53" s="10"/>
      <c r="F53" s="5"/>
    </row>
    <row r="54" spans="2:6" x14ac:dyDescent="0.25">
      <c r="B54" s="5"/>
      <c r="C54" s="5"/>
      <c r="D54" s="5"/>
      <c r="E54" s="10"/>
      <c r="F54" s="5"/>
    </row>
    <row r="55" spans="2:6" x14ac:dyDescent="0.25">
      <c r="B55" s="5"/>
      <c r="C55" s="5"/>
      <c r="D55" s="5"/>
      <c r="E55" s="10"/>
      <c r="F55" s="5"/>
    </row>
    <row r="56" spans="2:6" x14ac:dyDescent="0.25">
      <c r="B56" s="5"/>
      <c r="C56" s="5"/>
      <c r="D56" s="5"/>
      <c r="E56" s="10"/>
      <c r="F56" s="5"/>
    </row>
    <row r="57" spans="2:6" x14ac:dyDescent="0.25">
      <c r="B57" s="5"/>
      <c r="C57" s="5"/>
      <c r="D57" s="5"/>
      <c r="E57" s="10"/>
      <c r="F57" s="5"/>
    </row>
    <row r="58" spans="2:6" x14ac:dyDescent="0.25">
      <c r="B58" s="5"/>
      <c r="C58" s="5"/>
      <c r="D58" s="5"/>
      <c r="E58" s="10"/>
      <c r="F58" s="5"/>
    </row>
    <row r="59" spans="2:6" x14ac:dyDescent="0.25">
      <c r="B59" s="5"/>
      <c r="C59" s="5"/>
      <c r="D59" s="5"/>
      <c r="E59" s="10"/>
      <c r="F59" s="5"/>
    </row>
    <row r="60" spans="2:6" x14ac:dyDescent="0.25">
      <c r="B60" s="5"/>
      <c r="C60" s="5"/>
      <c r="D60" s="5"/>
      <c r="E60" s="10"/>
      <c r="F60" s="5"/>
    </row>
    <row r="61" spans="2:6" x14ac:dyDescent="0.25">
      <c r="B61" s="5"/>
      <c r="C61" s="5"/>
      <c r="D61" s="5"/>
      <c r="E61" s="10"/>
      <c r="F61" s="5"/>
    </row>
    <row r="62" spans="2:6" x14ac:dyDescent="0.25">
      <c r="B62" s="5"/>
      <c r="C62" s="5"/>
      <c r="D62" s="5"/>
      <c r="E62" s="10"/>
      <c r="F62" s="5"/>
    </row>
    <row r="63" spans="2:6" x14ac:dyDescent="0.25">
      <c r="B63" s="5"/>
      <c r="C63" s="5"/>
      <c r="D63" s="5"/>
      <c r="E63" s="10"/>
      <c r="F63" s="5"/>
    </row>
    <row r="64" spans="2:6" x14ac:dyDescent="0.25">
      <c r="B64" s="5"/>
      <c r="C64" s="5"/>
      <c r="D64" s="5"/>
      <c r="E64" s="10"/>
      <c r="F64" s="5"/>
    </row>
    <row r="65" spans="2:6" x14ac:dyDescent="0.25">
      <c r="B65" s="5"/>
      <c r="C65" s="5"/>
      <c r="D65" s="5"/>
      <c r="E65" s="10"/>
      <c r="F65" s="5"/>
    </row>
    <row r="66" spans="2:6" x14ac:dyDescent="0.25">
      <c r="B66" s="5"/>
      <c r="C66" s="5"/>
      <c r="D66" s="5"/>
      <c r="E66" s="10"/>
      <c r="F66" s="5"/>
    </row>
    <row r="67" spans="2:6" x14ac:dyDescent="0.25">
      <c r="B67" s="5"/>
      <c r="C67" s="5"/>
      <c r="D67" s="5"/>
      <c r="E67" s="10"/>
      <c r="F67" s="5"/>
    </row>
    <row r="68" spans="2:6" x14ac:dyDescent="0.25">
      <c r="B68" s="5"/>
      <c r="C68" s="5"/>
      <c r="D68" s="5"/>
      <c r="E68" s="10"/>
      <c r="F68" s="5"/>
    </row>
    <row r="69" spans="2:6" x14ac:dyDescent="0.25">
      <c r="B69" s="5"/>
      <c r="C69" s="5"/>
      <c r="D69" s="5"/>
      <c r="E69" s="10"/>
      <c r="F69" s="5"/>
    </row>
    <row r="70" spans="2:6" x14ac:dyDescent="0.25">
      <c r="B70" s="5"/>
      <c r="C70" s="5"/>
      <c r="D70" s="5"/>
      <c r="E70" s="10"/>
      <c r="F70" s="5"/>
    </row>
    <row r="71" spans="2:6" x14ac:dyDescent="0.25">
      <c r="B71" s="5"/>
      <c r="C71" s="5"/>
      <c r="D71" s="5"/>
      <c r="E71" s="10"/>
      <c r="F71" s="5"/>
    </row>
    <row r="72" spans="2:6" x14ac:dyDescent="0.25">
      <c r="B72" s="5"/>
      <c r="C72" s="5"/>
      <c r="D72" s="5"/>
      <c r="E72" s="10"/>
      <c r="F72" s="5"/>
    </row>
    <row r="73" spans="2:6" x14ac:dyDescent="0.25">
      <c r="B73" s="5"/>
      <c r="C73" s="5"/>
      <c r="D73" s="5"/>
      <c r="E73" s="10"/>
      <c r="F73" s="5"/>
    </row>
    <row r="74" spans="2:6" x14ac:dyDescent="0.25">
      <c r="B74" s="5"/>
      <c r="C74" s="5"/>
      <c r="D74" s="5"/>
      <c r="E74" s="10"/>
      <c r="F74" s="5"/>
    </row>
    <row r="75" spans="2:6" x14ac:dyDescent="0.25">
      <c r="B75" s="5"/>
      <c r="C75" s="5"/>
      <c r="D75" s="5"/>
      <c r="E75" s="10"/>
      <c r="F75" s="5"/>
    </row>
    <row r="76" spans="2:6" x14ac:dyDescent="0.25">
      <c r="B76" s="5"/>
      <c r="C76" s="5"/>
      <c r="D76" s="5"/>
      <c r="E76" s="10"/>
      <c r="F76" s="5"/>
    </row>
    <row r="77" spans="2:6" x14ac:dyDescent="0.25">
      <c r="B77" s="5"/>
      <c r="C77" s="5"/>
      <c r="D77" s="5"/>
      <c r="E77" s="10"/>
      <c r="F77" s="5"/>
    </row>
    <row r="78" spans="2:6" x14ac:dyDescent="0.25">
      <c r="B78" s="5"/>
      <c r="C78" s="5"/>
      <c r="D78" s="5"/>
      <c r="E78" s="10"/>
      <c r="F78" s="5"/>
    </row>
    <row r="79" spans="2:6" x14ac:dyDescent="0.25">
      <c r="B79" s="5"/>
      <c r="C79" s="5"/>
      <c r="D79" s="5"/>
      <c r="E79" s="10"/>
      <c r="F79" s="5"/>
    </row>
    <row r="80" spans="2:6" x14ac:dyDescent="0.25">
      <c r="B80" s="5"/>
      <c r="C80" s="5"/>
      <c r="D80" s="5"/>
      <c r="E80" s="10"/>
      <c r="F80" s="5"/>
    </row>
    <row r="81" spans="2:6" x14ac:dyDescent="0.25">
      <c r="B81" s="5"/>
      <c r="C81" s="5"/>
      <c r="D81" s="5"/>
      <c r="E81" s="10"/>
      <c r="F81" s="5"/>
    </row>
    <row r="82" spans="2:6" x14ac:dyDescent="0.25">
      <c r="B82" s="5"/>
      <c r="C82" s="5"/>
      <c r="D82" s="5"/>
      <c r="E82" s="10"/>
      <c r="F82" s="5"/>
    </row>
    <row r="83" spans="2:6" x14ac:dyDescent="0.25">
      <c r="B83" s="5"/>
      <c r="C83" s="5"/>
      <c r="D83" s="5"/>
      <c r="E83" s="10"/>
      <c r="F83" s="5"/>
    </row>
    <row r="84" spans="2:6" x14ac:dyDescent="0.25">
      <c r="B84" s="5"/>
      <c r="C84" s="5"/>
      <c r="D84" s="5"/>
      <c r="E84" s="10"/>
      <c r="F84" s="5"/>
    </row>
    <row r="85" spans="2:6" x14ac:dyDescent="0.25">
      <c r="B85" s="5"/>
      <c r="C85" s="5"/>
      <c r="D85" s="5"/>
      <c r="E85" s="10"/>
      <c r="F85" s="5"/>
    </row>
    <row r="86" spans="2:6" x14ac:dyDescent="0.25">
      <c r="B86" s="5"/>
      <c r="C86" s="5"/>
      <c r="D86" s="5"/>
      <c r="E86" s="10"/>
      <c r="F86" s="5"/>
    </row>
    <row r="87" spans="2:6" x14ac:dyDescent="0.25">
      <c r="B87" s="5"/>
      <c r="C87" s="5"/>
      <c r="D87" s="5"/>
      <c r="E87" s="10"/>
      <c r="F87" s="5"/>
    </row>
    <row r="88" spans="2:6" x14ac:dyDescent="0.25">
      <c r="B88" s="5"/>
      <c r="C88" s="5"/>
      <c r="D88" s="5"/>
      <c r="E88" s="10"/>
      <c r="F88" s="5"/>
    </row>
    <row r="89" spans="2:6" x14ac:dyDescent="0.25">
      <c r="B89" s="5"/>
      <c r="C89" s="5"/>
      <c r="D89" s="5"/>
      <c r="E89" s="10"/>
      <c r="F89" s="5"/>
    </row>
    <row r="90" spans="2:6" x14ac:dyDescent="0.25">
      <c r="B90" s="5"/>
      <c r="C90" s="5"/>
      <c r="D90" s="5"/>
      <c r="E90" s="10"/>
      <c r="F90" s="5"/>
    </row>
    <row r="91" spans="2:6" x14ac:dyDescent="0.25">
      <c r="B91" s="5"/>
      <c r="C91" s="5"/>
      <c r="D91" s="5"/>
      <c r="E91" s="10"/>
      <c r="F91" s="5"/>
    </row>
    <row r="92" spans="2:6" x14ac:dyDescent="0.25">
      <c r="B92" s="5"/>
      <c r="C92" s="5"/>
      <c r="D92" s="5"/>
      <c r="E92" s="10"/>
      <c r="F92" s="5"/>
    </row>
    <row r="93" spans="2:6" x14ac:dyDescent="0.25">
      <c r="B93" s="5"/>
      <c r="C93" s="5"/>
      <c r="D93" s="5"/>
      <c r="E93" s="10"/>
      <c r="F93" s="5"/>
    </row>
    <row r="94" spans="2:6" x14ac:dyDescent="0.25">
      <c r="B94" s="5"/>
      <c r="C94" s="5"/>
      <c r="D94" s="5"/>
      <c r="E94" s="10"/>
      <c r="F94" s="5"/>
    </row>
    <row r="95" spans="2:6" x14ac:dyDescent="0.25">
      <c r="B95" s="5"/>
      <c r="C95" s="5"/>
      <c r="D95" s="5"/>
      <c r="E95" s="10"/>
      <c r="F95" s="5"/>
    </row>
    <row r="96" spans="2:6" x14ac:dyDescent="0.25">
      <c r="B96" s="5"/>
      <c r="C96" s="5"/>
      <c r="D96" s="5"/>
      <c r="E96" s="10"/>
      <c r="F96" s="5"/>
    </row>
    <row r="97" spans="2:6" x14ac:dyDescent="0.25">
      <c r="B97" s="5"/>
      <c r="C97" s="5"/>
      <c r="D97" s="5"/>
      <c r="E97" s="10"/>
      <c r="F97" s="5"/>
    </row>
    <row r="98" spans="2:6" x14ac:dyDescent="0.25">
      <c r="B98" s="5"/>
      <c r="C98" s="5"/>
      <c r="D98" s="5"/>
      <c r="E98" s="10"/>
      <c r="F98" s="5"/>
    </row>
    <row r="99" spans="2:6" x14ac:dyDescent="0.25">
      <c r="B99" s="5"/>
      <c r="C99" s="5"/>
      <c r="D99" s="5"/>
      <c r="E99" s="10"/>
      <c r="F99" s="5"/>
    </row>
    <row r="100" spans="2:6" x14ac:dyDescent="0.25">
      <c r="B100" s="5"/>
      <c r="C100" s="5"/>
      <c r="D100" s="5"/>
      <c r="E100" s="10"/>
      <c r="F100" s="5"/>
    </row>
    <row r="101" spans="2:6" x14ac:dyDescent="0.25">
      <c r="B101" s="5"/>
      <c r="C101" s="5"/>
      <c r="D101" s="5"/>
      <c r="E101" s="10"/>
      <c r="F101" s="5"/>
    </row>
    <row r="102" spans="2:6" x14ac:dyDescent="0.25">
      <c r="B102" s="5"/>
      <c r="C102" s="5"/>
      <c r="D102" s="5"/>
      <c r="E102" s="10"/>
      <c r="F102" s="5"/>
    </row>
    <row r="103" spans="2:6" x14ac:dyDescent="0.25">
      <c r="B103" s="5"/>
      <c r="C103" s="5"/>
      <c r="D103" s="5"/>
      <c r="E103" s="10"/>
      <c r="F103" s="5"/>
    </row>
    <row r="104" spans="2:6" x14ac:dyDescent="0.25">
      <c r="B104" s="5"/>
      <c r="C104" s="5"/>
      <c r="D104" s="5"/>
      <c r="E104" s="10"/>
      <c r="F104" s="5"/>
    </row>
    <row r="105" spans="2:6" x14ac:dyDescent="0.25">
      <c r="B105" s="5"/>
      <c r="C105" s="5"/>
      <c r="D105" s="5"/>
      <c r="E105" s="10"/>
      <c r="F105" s="5"/>
    </row>
    <row r="106" spans="2:6" x14ac:dyDescent="0.25">
      <c r="B106" s="5"/>
      <c r="C106" s="5"/>
      <c r="D106" s="5"/>
      <c r="E106" s="10"/>
      <c r="F106" s="5"/>
    </row>
    <row r="107" spans="2:6" x14ac:dyDescent="0.25">
      <c r="B107" s="5"/>
      <c r="C107" s="5"/>
      <c r="D107" s="5"/>
      <c r="E107" s="10"/>
      <c r="F107" s="5"/>
    </row>
    <row r="108" spans="2:6" x14ac:dyDescent="0.25">
      <c r="B108" s="5"/>
      <c r="C108" s="5"/>
      <c r="D108" s="5"/>
      <c r="E108" s="10"/>
      <c r="F108" s="5"/>
    </row>
    <row r="109" spans="2:6" x14ac:dyDescent="0.25">
      <c r="B109" s="5"/>
      <c r="C109" s="5"/>
      <c r="D109" s="5"/>
      <c r="E109" s="10"/>
      <c r="F109" s="5"/>
    </row>
    <row r="110" spans="2:6" x14ac:dyDescent="0.25">
      <c r="B110" s="5"/>
      <c r="C110" s="5"/>
      <c r="D110" s="5"/>
      <c r="E110" s="10"/>
      <c r="F110" s="5"/>
    </row>
    <row r="111" spans="2:6" x14ac:dyDescent="0.25">
      <c r="B111" s="5"/>
      <c r="C111" s="5"/>
      <c r="D111" s="5"/>
      <c r="E111" s="10"/>
      <c r="F111" s="5"/>
    </row>
    <row r="112" spans="2:6" x14ac:dyDescent="0.25">
      <c r="B112" s="5"/>
      <c r="C112" s="5"/>
      <c r="D112" s="5"/>
      <c r="E112" s="10"/>
      <c r="F112" s="5"/>
    </row>
    <row r="113" spans="2:6" x14ac:dyDescent="0.25">
      <c r="B113" s="5"/>
      <c r="C113" s="5"/>
      <c r="D113" s="5"/>
      <c r="E113" s="10"/>
      <c r="F113" s="5"/>
    </row>
    <row r="114" spans="2:6" x14ac:dyDescent="0.25">
      <c r="B114" s="5"/>
      <c r="C114" s="5"/>
      <c r="D114" s="5"/>
      <c r="E114" s="10"/>
      <c r="F114" s="5"/>
    </row>
    <row r="115" spans="2:6" x14ac:dyDescent="0.25">
      <c r="B115" s="5"/>
      <c r="C115" s="5"/>
      <c r="D115" s="5"/>
      <c r="E115" s="10"/>
      <c r="F115" s="5"/>
    </row>
    <row r="116" spans="2:6" x14ac:dyDescent="0.25">
      <c r="B116" s="5"/>
      <c r="C116" s="5"/>
      <c r="D116" s="5"/>
      <c r="E116" s="10"/>
      <c r="F116" s="5"/>
    </row>
    <row r="117" spans="2:6" x14ac:dyDescent="0.25">
      <c r="B117" s="5"/>
      <c r="C117" s="5"/>
      <c r="D117" s="5"/>
      <c r="E117" s="10"/>
      <c r="F117" s="5"/>
    </row>
    <row r="118" spans="2:6" x14ac:dyDescent="0.25">
      <c r="B118" s="5"/>
      <c r="C118" s="5"/>
      <c r="D118" s="5"/>
      <c r="E118" s="10"/>
      <c r="F118" s="5"/>
    </row>
    <row r="119" spans="2:6" x14ac:dyDescent="0.25">
      <c r="B119" s="5"/>
      <c r="C119" s="5"/>
      <c r="D119" s="5"/>
      <c r="E119" s="10"/>
      <c r="F119" s="5"/>
    </row>
    <row r="120" spans="2:6" x14ac:dyDescent="0.25">
      <c r="B120" s="5"/>
      <c r="C120" s="5"/>
      <c r="D120" s="5"/>
      <c r="E120" s="10"/>
      <c r="F120" s="5"/>
    </row>
    <row r="121" spans="2:6" x14ac:dyDescent="0.25">
      <c r="B121" s="5"/>
      <c r="C121" s="5"/>
      <c r="D121" s="5"/>
      <c r="E121" s="10"/>
      <c r="F121" s="5"/>
    </row>
    <row r="122" spans="2:6" x14ac:dyDescent="0.25">
      <c r="B122" s="5"/>
      <c r="C122" s="5"/>
      <c r="D122" s="5"/>
      <c r="E122" s="10"/>
      <c r="F122" s="5"/>
    </row>
    <row r="123" spans="2:6" x14ac:dyDescent="0.25">
      <c r="B123" s="5"/>
      <c r="C123" s="5"/>
      <c r="D123" s="5"/>
      <c r="E123" s="10"/>
      <c r="F123" s="5"/>
    </row>
    <row r="124" spans="2:6" x14ac:dyDescent="0.25">
      <c r="B124" s="5"/>
      <c r="C124" s="5"/>
      <c r="D124" s="5"/>
      <c r="E124" s="10"/>
      <c r="F124" s="5"/>
    </row>
    <row r="125" spans="2:6" x14ac:dyDescent="0.25">
      <c r="B125" s="5"/>
      <c r="C125" s="5"/>
      <c r="D125" s="5"/>
      <c r="E125" s="10"/>
      <c r="F125" s="5"/>
    </row>
    <row r="126" spans="2:6" x14ac:dyDescent="0.25">
      <c r="B126" s="5"/>
      <c r="C126" s="5"/>
      <c r="D126" s="5"/>
      <c r="E126" s="10"/>
      <c r="F126" s="5"/>
    </row>
    <row r="127" spans="2:6" x14ac:dyDescent="0.25">
      <c r="B127" s="5"/>
      <c r="C127" s="5"/>
      <c r="D127" s="5"/>
      <c r="E127" s="10"/>
      <c r="F127" s="5"/>
    </row>
    <row r="128" spans="2:6" x14ac:dyDescent="0.25">
      <c r="B128" s="5"/>
      <c r="C128" s="5"/>
      <c r="D128" s="5"/>
      <c r="E128" s="10"/>
      <c r="F128" s="5"/>
    </row>
    <row r="129" spans="2:6" x14ac:dyDescent="0.25">
      <c r="B129" s="5"/>
      <c r="C129" s="5"/>
      <c r="D129" s="5"/>
      <c r="E129" s="10"/>
      <c r="F129" s="5"/>
    </row>
    <row r="130" spans="2:6" x14ac:dyDescent="0.25">
      <c r="B130" s="5"/>
      <c r="C130" s="5"/>
      <c r="D130" s="5"/>
      <c r="E130" s="10"/>
      <c r="F130" s="5"/>
    </row>
    <row r="131" spans="2:6" x14ac:dyDescent="0.25">
      <c r="B131" s="5"/>
      <c r="C131" s="5"/>
      <c r="D131" s="5"/>
      <c r="E131" s="10"/>
      <c r="F131" s="5"/>
    </row>
    <row r="132" spans="2:6" x14ac:dyDescent="0.25">
      <c r="B132" s="5"/>
      <c r="C132" s="5"/>
      <c r="D132" s="5"/>
      <c r="E132" s="10"/>
      <c r="F132" s="5"/>
    </row>
    <row r="133" spans="2:6" x14ac:dyDescent="0.25">
      <c r="B133" s="5"/>
      <c r="C133" s="5"/>
      <c r="D133" s="5"/>
      <c r="E133" s="10"/>
      <c r="F133" s="5"/>
    </row>
    <row r="134" spans="2:6" x14ac:dyDescent="0.25">
      <c r="B134" s="5"/>
      <c r="C134" s="5"/>
      <c r="D134" s="5"/>
      <c r="E134" s="10"/>
      <c r="F134" s="5"/>
    </row>
    <row r="135" spans="2:6" x14ac:dyDescent="0.25">
      <c r="B135" s="5"/>
      <c r="C135" s="5"/>
      <c r="D135" s="5"/>
      <c r="E135" s="10"/>
      <c r="F135" s="5"/>
    </row>
    <row r="136" spans="2:6" x14ac:dyDescent="0.25">
      <c r="B136" s="5"/>
      <c r="C136" s="5"/>
      <c r="D136" s="5"/>
      <c r="E136" s="10"/>
      <c r="F136" s="5"/>
    </row>
    <row r="137" spans="2:6" x14ac:dyDescent="0.25">
      <c r="B137" s="5"/>
      <c r="C137" s="5"/>
      <c r="D137" s="5"/>
      <c r="E137" s="10"/>
      <c r="F137" s="5"/>
    </row>
    <row r="138" spans="2:6" x14ac:dyDescent="0.25">
      <c r="B138" s="5"/>
      <c r="C138" s="5"/>
      <c r="D138" s="5"/>
      <c r="E138" s="10"/>
      <c r="F138" s="5"/>
    </row>
    <row r="139" spans="2:6" x14ac:dyDescent="0.25">
      <c r="B139" s="5"/>
      <c r="C139" s="5"/>
      <c r="D139" s="5"/>
      <c r="E139" s="10"/>
      <c r="F139" s="5"/>
    </row>
    <row r="140" spans="2:6" x14ac:dyDescent="0.25">
      <c r="B140" s="5"/>
      <c r="C140" s="5"/>
      <c r="D140" s="5"/>
      <c r="E140" s="10"/>
      <c r="F140" s="5"/>
    </row>
    <row r="141" spans="2:6" x14ac:dyDescent="0.25">
      <c r="B141" s="5"/>
      <c r="C141" s="5"/>
      <c r="D141" s="5"/>
      <c r="E141" s="10"/>
      <c r="F141" s="5"/>
    </row>
    <row r="142" spans="2:6" x14ac:dyDescent="0.25">
      <c r="B142" s="5"/>
      <c r="C142" s="5"/>
      <c r="D142" s="5"/>
      <c r="E142" s="10"/>
      <c r="F142" s="5"/>
    </row>
    <row r="143" spans="2:6" x14ac:dyDescent="0.25">
      <c r="B143" s="5"/>
      <c r="C143" s="5"/>
      <c r="D143" s="5"/>
      <c r="E143" s="10"/>
      <c r="F143" s="5"/>
    </row>
    <row r="144" spans="2:6" x14ac:dyDescent="0.25">
      <c r="B144" s="5"/>
      <c r="C144" s="5"/>
      <c r="D144" s="5"/>
      <c r="E144" s="10"/>
      <c r="F144" s="5"/>
    </row>
    <row r="145" spans="2:6" x14ac:dyDescent="0.25">
      <c r="B145" s="5"/>
      <c r="C145" s="5"/>
      <c r="D145" s="5"/>
      <c r="E145" s="10"/>
      <c r="F145" s="5"/>
    </row>
    <row r="146" spans="2:6" x14ac:dyDescent="0.25">
      <c r="B146" s="5"/>
      <c r="C146" s="5"/>
      <c r="D146" s="5"/>
      <c r="E146" s="10"/>
      <c r="F146" s="5"/>
    </row>
    <row r="147" spans="2:6" x14ac:dyDescent="0.25">
      <c r="B147" s="5"/>
      <c r="C147" s="5"/>
      <c r="D147" s="5"/>
      <c r="E147" s="10"/>
      <c r="F147" s="5"/>
    </row>
    <row r="148" spans="2:6" x14ac:dyDescent="0.25">
      <c r="B148" s="5"/>
      <c r="C148" s="5"/>
      <c r="D148" s="5"/>
      <c r="E148" s="10"/>
      <c r="F148" s="5"/>
    </row>
    <row r="149" spans="2:6" x14ac:dyDescent="0.25">
      <c r="B149" s="5"/>
      <c r="C149" s="5"/>
      <c r="D149" s="5"/>
      <c r="E149" s="10"/>
      <c r="F149" s="5"/>
    </row>
    <row r="150" spans="2:6" x14ac:dyDescent="0.25">
      <c r="B150" s="5"/>
      <c r="C150" s="5"/>
      <c r="D150" s="5"/>
      <c r="E150" s="10"/>
      <c r="F150" s="5"/>
    </row>
    <row r="151" spans="2:6" x14ac:dyDescent="0.25">
      <c r="B151" s="5"/>
      <c r="C151" s="5"/>
      <c r="D151" s="5"/>
      <c r="E151" s="10"/>
      <c r="F151" s="5"/>
    </row>
    <row r="152" spans="2:6" x14ac:dyDescent="0.25">
      <c r="B152" s="5"/>
      <c r="C152" s="5"/>
      <c r="D152" s="5"/>
      <c r="E152" s="10"/>
      <c r="F152" s="5"/>
    </row>
    <row r="153" spans="2:6" x14ac:dyDescent="0.25">
      <c r="B153" s="5"/>
      <c r="C153" s="5"/>
      <c r="D153" s="5"/>
      <c r="E153" s="10"/>
      <c r="F153" s="5"/>
    </row>
    <row r="154" spans="2:6" x14ac:dyDescent="0.25">
      <c r="B154" s="5"/>
      <c r="C154" s="5"/>
      <c r="D154" s="5"/>
      <c r="E154" s="10"/>
      <c r="F154" s="5"/>
    </row>
    <row r="155" spans="2:6" x14ac:dyDescent="0.25">
      <c r="B155" s="5"/>
      <c r="C155" s="5"/>
      <c r="D155" s="5"/>
      <c r="E155" s="10"/>
      <c r="F155" s="5"/>
    </row>
    <row r="156" spans="2:6" x14ac:dyDescent="0.25">
      <c r="B156" s="5"/>
      <c r="C156" s="5"/>
      <c r="D156" s="5"/>
      <c r="E156" s="10"/>
      <c r="F156" s="5"/>
    </row>
    <row r="157" spans="2:6" x14ac:dyDescent="0.25">
      <c r="B157" s="5"/>
      <c r="C157" s="5"/>
      <c r="D157" s="5"/>
      <c r="E157" s="10"/>
      <c r="F157" s="5"/>
    </row>
    <row r="158" spans="2:6" x14ac:dyDescent="0.25">
      <c r="B158" s="5"/>
      <c r="C158" s="5"/>
      <c r="D158" s="5"/>
      <c r="E158" s="10"/>
      <c r="F158" s="5"/>
    </row>
    <row r="159" spans="2:6" x14ac:dyDescent="0.25">
      <c r="B159" s="5"/>
      <c r="C159" s="5"/>
      <c r="D159" s="5"/>
      <c r="E159" s="10"/>
      <c r="F159" s="5"/>
    </row>
    <row r="160" spans="2:6" x14ac:dyDescent="0.25">
      <c r="B160" s="5"/>
      <c r="C160" s="5"/>
      <c r="D160" s="5"/>
      <c r="E160" s="10"/>
      <c r="F160" s="5"/>
    </row>
    <row r="161" spans="2:6" x14ac:dyDescent="0.25">
      <c r="B161" s="5"/>
      <c r="C161" s="5"/>
      <c r="D161" s="5"/>
      <c r="E161" s="10"/>
      <c r="F161" s="5"/>
    </row>
    <row r="162" spans="2:6" x14ac:dyDescent="0.25">
      <c r="B162" s="5"/>
      <c r="C162" s="5"/>
      <c r="D162" s="5"/>
      <c r="E162" s="10"/>
      <c r="F162" s="5"/>
    </row>
    <row r="163" spans="2:6" x14ac:dyDescent="0.25">
      <c r="B163" s="5"/>
      <c r="C163" s="5"/>
      <c r="D163" s="5"/>
      <c r="E163" s="10"/>
      <c r="F163" s="5"/>
    </row>
    <row r="164" spans="2:6" x14ac:dyDescent="0.25">
      <c r="B164" s="5"/>
      <c r="C164" s="5"/>
      <c r="D164" s="5"/>
      <c r="E164" s="10"/>
      <c r="F164" s="5"/>
    </row>
    <row r="165" spans="2:6" x14ac:dyDescent="0.25">
      <c r="B165" s="5"/>
      <c r="C165" s="5"/>
      <c r="D165" s="5"/>
      <c r="E165" s="10"/>
      <c r="F165" s="5"/>
    </row>
    <row r="166" spans="2:6" x14ac:dyDescent="0.25">
      <c r="B166" s="5"/>
      <c r="C166" s="5"/>
      <c r="D166" s="5"/>
      <c r="E166" s="10"/>
      <c r="F166" s="5"/>
    </row>
    <row r="167" spans="2:6" x14ac:dyDescent="0.25">
      <c r="B167" s="5"/>
      <c r="C167" s="5"/>
      <c r="D167" s="5"/>
      <c r="E167" s="10"/>
      <c r="F167" s="5"/>
    </row>
    <row r="168" spans="2:6" x14ac:dyDescent="0.25">
      <c r="B168" s="5"/>
      <c r="C168" s="5"/>
      <c r="D168" s="5"/>
      <c r="E168" s="10"/>
      <c r="F168" s="5"/>
    </row>
    <row r="169" spans="2:6" x14ac:dyDescent="0.25">
      <c r="B169" s="5"/>
      <c r="C169" s="5"/>
      <c r="D169" s="5"/>
      <c r="E169" s="10"/>
      <c r="F169" s="5"/>
    </row>
    <row r="170" spans="2:6" x14ac:dyDescent="0.25">
      <c r="B170" s="5"/>
      <c r="C170" s="5"/>
      <c r="D170" s="5"/>
      <c r="E170" s="10"/>
      <c r="F170" s="5"/>
    </row>
    <row r="171" spans="2:6" x14ac:dyDescent="0.25">
      <c r="B171" s="5"/>
      <c r="C171" s="5"/>
      <c r="D171" s="5"/>
      <c r="E171" s="10"/>
      <c r="F171" s="5"/>
    </row>
    <row r="172" spans="2:6" x14ac:dyDescent="0.25">
      <c r="B172" s="5"/>
      <c r="C172" s="5"/>
      <c r="D172" s="5"/>
      <c r="E172" s="10"/>
      <c r="F172" s="5"/>
    </row>
    <row r="173" spans="2:6" x14ac:dyDescent="0.25">
      <c r="B173" s="5"/>
      <c r="C173" s="5"/>
      <c r="D173" s="5"/>
      <c r="E173" s="10"/>
      <c r="F173" s="5"/>
    </row>
    <row r="174" spans="2:6" x14ac:dyDescent="0.25">
      <c r="B174" s="5"/>
      <c r="C174" s="5"/>
      <c r="D174" s="5"/>
      <c r="E174" s="10"/>
      <c r="F174" s="5"/>
    </row>
    <row r="175" spans="2:6" x14ac:dyDescent="0.25">
      <c r="B175" s="5"/>
      <c r="C175" s="5"/>
      <c r="D175" s="5"/>
      <c r="E175" s="10"/>
      <c r="F175" s="5"/>
    </row>
    <row r="176" spans="2:6" x14ac:dyDescent="0.25">
      <c r="B176" s="5"/>
      <c r="C176" s="5"/>
      <c r="D176" s="5"/>
      <c r="E176" s="10"/>
      <c r="F176" s="5"/>
    </row>
    <row r="177" spans="2:6" x14ac:dyDescent="0.25">
      <c r="B177" s="5"/>
      <c r="C177" s="5"/>
      <c r="D177" s="5"/>
      <c r="E177" s="10"/>
      <c r="F177" s="5"/>
    </row>
    <row r="178" spans="2:6" x14ac:dyDescent="0.25">
      <c r="B178" s="5"/>
      <c r="C178" s="5"/>
      <c r="D178" s="5"/>
      <c r="E178" s="10"/>
      <c r="F178" s="5"/>
    </row>
    <row r="179" spans="2:6" x14ac:dyDescent="0.25">
      <c r="B179" s="5"/>
      <c r="C179" s="5"/>
      <c r="D179" s="5"/>
      <c r="E179" s="10"/>
      <c r="F179" s="5"/>
    </row>
    <row r="180" spans="2:6" x14ac:dyDescent="0.25">
      <c r="B180" s="5"/>
      <c r="C180" s="5"/>
      <c r="D180" s="5"/>
      <c r="E180" s="10"/>
      <c r="F180" s="5"/>
    </row>
    <row r="181" spans="2:6" x14ac:dyDescent="0.25">
      <c r="B181" s="5"/>
      <c r="C181" s="5"/>
      <c r="D181" s="5"/>
      <c r="E181" s="10"/>
      <c r="F181" s="5"/>
    </row>
    <row r="182" spans="2:6" x14ac:dyDescent="0.25">
      <c r="B182" s="5"/>
      <c r="C182" s="5"/>
      <c r="D182" s="5"/>
      <c r="E182" s="10"/>
      <c r="F182" s="5"/>
    </row>
    <row r="183" spans="2:6" x14ac:dyDescent="0.25">
      <c r="B183" s="5"/>
      <c r="C183" s="5"/>
      <c r="D183" s="5"/>
      <c r="E183" s="10"/>
      <c r="F183" s="5"/>
    </row>
    <row r="184" spans="2:6" x14ac:dyDescent="0.25">
      <c r="B184" s="5"/>
      <c r="C184" s="5"/>
      <c r="D184" s="5"/>
      <c r="E184" s="10"/>
      <c r="F184" s="5"/>
    </row>
    <row r="185" spans="2:6" x14ac:dyDescent="0.25">
      <c r="B185" s="5"/>
      <c r="C185" s="5"/>
      <c r="D185" s="5"/>
      <c r="E185" s="10"/>
      <c r="F185" s="5"/>
    </row>
    <row r="186" spans="2:6" x14ac:dyDescent="0.25">
      <c r="B186" s="5"/>
      <c r="C186" s="5"/>
      <c r="D186" s="5"/>
      <c r="E186" s="10"/>
      <c r="F186" s="5"/>
    </row>
    <row r="187" spans="2:6" x14ac:dyDescent="0.25">
      <c r="B187" s="5"/>
      <c r="C187" s="5"/>
      <c r="D187" s="5"/>
      <c r="E187" s="10"/>
      <c r="F187" s="5"/>
    </row>
    <row r="188" spans="2:6" x14ac:dyDescent="0.25">
      <c r="B188" s="5"/>
      <c r="C188" s="5"/>
      <c r="D188" s="5"/>
      <c r="E188" s="10"/>
      <c r="F188" s="5"/>
    </row>
    <row r="189" spans="2:6" x14ac:dyDescent="0.25">
      <c r="B189" s="5"/>
      <c r="C189" s="5"/>
      <c r="D189" s="5"/>
      <c r="E189" s="10"/>
      <c r="F189" s="5"/>
    </row>
    <row r="190" spans="2:6" x14ac:dyDescent="0.25">
      <c r="B190" s="5"/>
      <c r="C190" s="5"/>
      <c r="D190" s="5"/>
      <c r="E190" s="10"/>
      <c r="F190" s="5"/>
    </row>
    <row r="191" spans="2:6" x14ac:dyDescent="0.25">
      <c r="B191" s="5"/>
      <c r="C191" s="5"/>
      <c r="D191" s="5"/>
      <c r="E191" s="10"/>
      <c r="F191" s="5"/>
    </row>
    <row r="192" spans="2:6" x14ac:dyDescent="0.25">
      <c r="B192" s="5"/>
      <c r="C192" s="5"/>
      <c r="D192" s="5"/>
      <c r="E192" s="10"/>
      <c r="F192" s="5"/>
    </row>
    <row r="193" spans="2:6" x14ac:dyDescent="0.25">
      <c r="B193" s="5"/>
      <c r="C193" s="5"/>
      <c r="D193" s="5"/>
      <c r="E193" s="10"/>
      <c r="F193" s="5"/>
    </row>
    <row r="194" spans="2:6" x14ac:dyDescent="0.25">
      <c r="B194" s="5"/>
      <c r="C194" s="5"/>
      <c r="D194" s="5"/>
      <c r="E194" s="10"/>
      <c r="F194" s="5"/>
    </row>
    <row r="195" spans="2:6" x14ac:dyDescent="0.25">
      <c r="B195" s="5"/>
      <c r="C195" s="5"/>
      <c r="D195" s="5"/>
      <c r="E195" s="10"/>
      <c r="F195" s="5"/>
    </row>
    <row r="196" spans="2:6" x14ac:dyDescent="0.25">
      <c r="B196" s="5"/>
      <c r="C196" s="5"/>
      <c r="D196" s="5"/>
      <c r="E196" s="10"/>
      <c r="F196" s="5"/>
    </row>
    <row r="197" spans="2:6" x14ac:dyDescent="0.25">
      <c r="B197" s="5"/>
      <c r="C197" s="5"/>
      <c r="D197" s="5"/>
      <c r="E197" s="10"/>
      <c r="F197" s="5"/>
    </row>
    <row r="198" spans="2:6" x14ac:dyDescent="0.25">
      <c r="B198" s="5"/>
      <c r="C198" s="5"/>
      <c r="D198" s="5"/>
      <c r="E198" s="10"/>
      <c r="F198" s="5"/>
    </row>
    <row r="199" spans="2:6" x14ac:dyDescent="0.25">
      <c r="B199" s="5"/>
      <c r="C199" s="5"/>
      <c r="D199" s="5"/>
      <c r="E199" s="10"/>
      <c r="F199" s="5"/>
    </row>
    <row r="200" spans="2:6" x14ac:dyDescent="0.25">
      <c r="B200" s="5"/>
      <c r="C200" s="5"/>
      <c r="D200" s="5"/>
      <c r="E200" s="10"/>
      <c r="F200" s="5"/>
    </row>
    <row r="201" spans="2:6" x14ac:dyDescent="0.25">
      <c r="B201" s="5"/>
      <c r="C201" s="5"/>
      <c r="D201" s="5"/>
      <c r="E201" s="10"/>
      <c r="F201" s="5"/>
    </row>
    <row r="202" spans="2:6" x14ac:dyDescent="0.25">
      <c r="B202" s="5"/>
      <c r="C202" s="5"/>
      <c r="D202" s="5"/>
      <c r="E202" s="10"/>
      <c r="F202" s="5"/>
    </row>
    <row r="203" spans="2:6" x14ac:dyDescent="0.25">
      <c r="B203" s="5"/>
      <c r="C203" s="5"/>
      <c r="D203" s="5"/>
      <c r="E203" s="10"/>
      <c r="F203" s="5"/>
    </row>
    <row r="204" spans="2:6" x14ac:dyDescent="0.25">
      <c r="B204" s="5"/>
      <c r="C204" s="5"/>
      <c r="D204" s="5"/>
      <c r="E204" s="10"/>
      <c r="F204" s="5"/>
    </row>
    <row r="205" spans="2:6" x14ac:dyDescent="0.25">
      <c r="B205" s="5"/>
      <c r="C205" s="5"/>
      <c r="D205" s="5"/>
      <c r="E205" s="10"/>
      <c r="F205" s="5"/>
    </row>
    <row r="206" spans="2:6" x14ac:dyDescent="0.25">
      <c r="B206" s="5"/>
      <c r="C206" s="5"/>
      <c r="D206" s="5"/>
      <c r="E206" s="10"/>
      <c r="F206" s="5"/>
    </row>
    <row r="207" spans="2:6" x14ac:dyDescent="0.25">
      <c r="B207" s="5"/>
      <c r="C207" s="5"/>
      <c r="D207" s="5"/>
      <c r="E207" s="10"/>
      <c r="F207" s="5"/>
    </row>
    <row r="208" spans="2:6" x14ac:dyDescent="0.25">
      <c r="B208" s="5"/>
      <c r="C208" s="5"/>
      <c r="D208" s="5"/>
      <c r="E208" s="10"/>
      <c r="F208" s="5"/>
    </row>
    <row r="209" spans="2:6" x14ac:dyDescent="0.25">
      <c r="B209" s="5"/>
      <c r="C209" s="5"/>
      <c r="D209" s="5"/>
      <c r="E209" s="10"/>
      <c r="F209" s="5"/>
    </row>
    <row r="210" spans="2:6" x14ac:dyDescent="0.25">
      <c r="B210" s="5"/>
      <c r="C210" s="5"/>
      <c r="D210" s="5"/>
      <c r="E210" s="10"/>
      <c r="F210" s="5"/>
    </row>
    <row r="211" spans="2:6" x14ac:dyDescent="0.25">
      <c r="B211" s="5"/>
      <c r="C211" s="5"/>
      <c r="D211" s="5"/>
      <c r="E211" s="10"/>
      <c r="F211" s="5"/>
    </row>
    <row r="212" spans="2:6" x14ac:dyDescent="0.25">
      <c r="B212" s="5"/>
      <c r="C212" s="5"/>
      <c r="D212" s="5"/>
      <c r="E212" s="10"/>
      <c r="F212" s="5"/>
    </row>
    <row r="213" spans="2:6" x14ac:dyDescent="0.25">
      <c r="B213" s="5"/>
      <c r="C213" s="5"/>
      <c r="D213" s="5"/>
      <c r="E213" s="10"/>
      <c r="F213" s="5"/>
    </row>
    <row r="214" spans="2:6" x14ac:dyDescent="0.25">
      <c r="B214" s="5"/>
      <c r="C214" s="5"/>
      <c r="D214" s="5"/>
      <c r="E214" s="10"/>
      <c r="F214" s="5"/>
    </row>
    <row r="215" spans="2:6" x14ac:dyDescent="0.25">
      <c r="B215" s="5"/>
      <c r="C215" s="5"/>
      <c r="D215" s="5"/>
      <c r="E215" s="10"/>
      <c r="F215" s="5"/>
    </row>
    <row r="216" spans="2:6" x14ac:dyDescent="0.25">
      <c r="B216" s="5"/>
      <c r="C216" s="5"/>
      <c r="D216" s="5"/>
      <c r="E216" s="10"/>
      <c r="F216" s="5"/>
    </row>
    <row r="217" spans="2:6" x14ac:dyDescent="0.25">
      <c r="B217" s="5"/>
      <c r="C217" s="5"/>
      <c r="D217" s="5"/>
      <c r="E217" s="10"/>
      <c r="F217" s="5"/>
    </row>
    <row r="218" spans="2:6" x14ac:dyDescent="0.25">
      <c r="B218" s="5"/>
      <c r="C218" s="5"/>
      <c r="D218" s="5"/>
      <c r="E218" s="10"/>
      <c r="F218" s="5"/>
    </row>
    <row r="219" spans="2:6" x14ac:dyDescent="0.25">
      <c r="B219" s="5"/>
      <c r="C219" s="5"/>
      <c r="D219" s="5"/>
      <c r="E219" s="10"/>
      <c r="F219" s="5"/>
    </row>
    <row r="220" spans="2:6" x14ac:dyDescent="0.25">
      <c r="B220" s="5"/>
      <c r="C220" s="5"/>
      <c r="D220" s="5"/>
      <c r="E220" s="10"/>
      <c r="F220" s="5"/>
    </row>
    <row r="221" spans="2:6" x14ac:dyDescent="0.25">
      <c r="B221" s="5"/>
      <c r="C221" s="5"/>
      <c r="D221" s="5"/>
      <c r="E221" s="10"/>
      <c r="F221" s="5"/>
    </row>
    <row r="222" spans="2:6" x14ac:dyDescent="0.25">
      <c r="B222" s="5"/>
      <c r="C222" s="5"/>
      <c r="D222" s="5"/>
      <c r="E222" s="10"/>
      <c r="F222" s="5"/>
    </row>
    <row r="223" spans="2:6" x14ac:dyDescent="0.25">
      <c r="B223" s="5"/>
      <c r="C223" s="5"/>
      <c r="D223" s="5"/>
      <c r="E223" s="10"/>
      <c r="F223" s="5"/>
    </row>
    <row r="224" spans="2:6" x14ac:dyDescent="0.25">
      <c r="B224" s="5"/>
      <c r="C224" s="5"/>
      <c r="D224" s="5"/>
      <c r="E224" s="10"/>
      <c r="F224" s="5"/>
    </row>
    <row r="225" spans="2:6" x14ac:dyDescent="0.25">
      <c r="B225" s="5"/>
      <c r="C225" s="5"/>
      <c r="D225" s="5"/>
      <c r="E225" s="10"/>
      <c r="F225" s="5"/>
    </row>
    <row r="226" spans="2:6" x14ac:dyDescent="0.25">
      <c r="B226" s="5"/>
      <c r="C226" s="5"/>
      <c r="D226" s="5"/>
      <c r="E226" s="10"/>
      <c r="F226" s="5"/>
    </row>
    <row r="227" spans="2:6" x14ac:dyDescent="0.25">
      <c r="B227" s="5"/>
      <c r="C227" s="5"/>
      <c r="D227" s="5"/>
      <c r="E227" s="10"/>
      <c r="F227" s="5"/>
    </row>
    <row r="228" spans="2:6" x14ac:dyDescent="0.25">
      <c r="B228" s="5"/>
      <c r="C228" s="5"/>
      <c r="D228" s="5"/>
      <c r="E228" s="10"/>
      <c r="F228" s="5"/>
    </row>
    <row r="229" spans="2:6" x14ac:dyDescent="0.25">
      <c r="B229" s="5"/>
      <c r="C229" s="5"/>
      <c r="D229" s="5"/>
      <c r="E229" s="10"/>
      <c r="F229" s="5"/>
    </row>
    <row r="230" spans="2:6" x14ac:dyDescent="0.25">
      <c r="B230" s="5"/>
      <c r="C230" s="5"/>
      <c r="D230" s="5"/>
      <c r="E230" s="10"/>
      <c r="F230" s="5"/>
    </row>
    <row r="231" spans="2:6" x14ac:dyDescent="0.25">
      <c r="B231" s="5"/>
      <c r="C231" s="5"/>
      <c r="D231" s="5"/>
      <c r="E231" s="10"/>
      <c r="F231" s="5"/>
    </row>
    <row r="232" spans="2:6" x14ac:dyDescent="0.25">
      <c r="B232" s="5"/>
      <c r="C232" s="5"/>
      <c r="D232" s="5"/>
      <c r="E232" s="10"/>
      <c r="F232" s="5"/>
    </row>
    <row r="233" spans="2:6" x14ac:dyDescent="0.25">
      <c r="B233" s="5"/>
      <c r="C233" s="5"/>
      <c r="D233" s="5"/>
      <c r="E233" s="10"/>
      <c r="F233" s="5"/>
    </row>
    <row r="234" spans="2:6" x14ac:dyDescent="0.25">
      <c r="B234" s="5"/>
      <c r="C234" s="5"/>
      <c r="D234" s="5"/>
      <c r="E234" s="10"/>
      <c r="F234" s="5"/>
    </row>
    <row r="235" spans="2:6" x14ac:dyDescent="0.25">
      <c r="B235" s="5"/>
      <c r="C235" s="5"/>
      <c r="D235" s="5"/>
      <c r="E235" s="10"/>
      <c r="F235" s="5"/>
    </row>
    <row r="236" spans="2:6" x14ac:dyDescent="0.25">
      <c r="B236" s="5"/>
      <c r="C236" s="5"/>
      <c r="D236" s="5"/>
      <c r="E236" s="10"/>
      <c r="F236" s="5"/>
    </row>
    <row r="237" spans="2:6" x14ac:dyDescent="0.25">
      <c r="B237" s="5"/>
      <c r="C237" s="5"/>
      <c r="D237" s="5"/>
      <c r="E237" s="10"/>
      <c r="F237" s="5"/>
    </row>
    <row r="238" spans="2:6" x14ac:dyDescent="0.25">
      <c r="B238" s="5"/>
      <c r="C238" s="5"/>
      <c r="D238" s="5"/>
      <c r="E238" s="10"/>
      <c r="F238" s="5"/>
    </row>
    <row r="239" spans="2:6" x14ac:dyDescent="0.25">
      <c r="B239" s="5"/>
      <c r="C239" s="5"/>
      <c r="D239" s="5"/>
      <c r="E239" s="10"/>
      <c r="F239" s="5"/>
    </row>
    <row r="240" spans="2:6" x14ac:dyDescent="0.25">
      <c r="B240" s="5"/>
      <c r="C240" s="5"/>
      <c r="D240" s="5"/>
      <c r="E240" s="10"/>
      <c r="F240" s="5"/>
    </row>
    <row r="241" spans="2:6" x14ac:dyDescent="0.25">
      <c r="B241" s="5"/>
      <c r="C241" s="5"/>
      <c r="D241" s="5"/>
      <c r="E241" s="10"/>
      <c r="F241" s="5"/>
    </row>
    <row r="242" spans="2:6" x14ac:dyDescent="0.25">
      <c r="B242" s="5"/>
      <c r="C242" s="5"/>
      <c r="D242" s="5"/>
      <c r="E242" s="10"/>
      <c r="F242" s="5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42</v>
      </c>
    </row>
    <row r="2" spans="1:2" x14ac:dyDescent="0.25">
      <c r="A2" s="2" t="s">
        <v>52</v>
      </c>
      <c r="B2" s="7" t="s">
        <v>43</v>
      </c>
    </row>
    <row r="3" spans="1:2" x14ac:dyDescent="0.25">
      <c r="A3" s="2" t="s">
        <v>52</v>
      </c>
      <c r="B3" s="7" t="s">
        <v>44</v>
      </c>
    </row>
    <row r="4" spans="1:2" x14ac:dyDescent="0.25">
      <c r="A4" s="2" t="s">
        <v>52</v>
      </c>
      <c r="B4" s="4" t="s">
        <v>45</v>
      </c>
    </row>
    <row r="5" spans="1:2" x14ac:dyDescent="0.25">
      <c r="A5" s="2" t="s">
        <v>52</v>
      </c>
      <c r="B5" s="4" t="s">
        <v>46</v>
      </c>
    </row>
    <row r="6" spans="1:2" x14ac:dyDescent="0.25">
      <c r="A6" s="2" t="s">
        <v>50</v>
      </c>
      <c r="B6" s="7" t="s">
        <v>43</v>
      </c>
    </row>
    <row r="7" spans="1:2" x14ac:dyDescent="0.25">
      <c r="A7" s="2" t="s">
        <v>50</v>
      </c>
      <c r="B7" s="7" t="s">
        <v>44</v>
      </c>
    </row>
    <row r="8" spans="1:2" x14ac:dyDescent="0.25">
      <c r="A8" s="2" t="s">
        <v>50</v>
      </c>
      <c r="B8" s="4" t="s">
        <v>45</v>
      </c>
    </row>
    <row r="9" spans="1:2" x14ac:dyDescent="0.25">
      <c r="A9" s="2" t="s">
        <v>50</v>
      </c>
      <c r="B9" s="4" t="s">
        <v>46</v>
      </c>
    </row>
    <row r="1627" spans="1:1" x14ac:dyDescent="0.25">
      <c r="A1627" t="s">
        <v>2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13.28515625" style="4" bestFit="1" customWidth="1"/>
  </cols>
  <sheetData>
    <row r="1" spans="1:2" x14ac:dyDescent="0.25">
      <c r="A1" s="3" t="s">
        <v>10</v>
      </c>
      <c r="B1" s="11" t="s">
        <v>47</v>
      </c>
    </row>
    <row r="2" spans="1:2" x14ac:dyDescent="0.25">
      <c r="A2" s="2" t="s">
        <v>52</v>
      </c>
      <c r="B2" s="7" t="s">
        <v>48</v>
      </c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627"/>
  <sheetViews>
    <sheetView workbookViewId="0">
      <pane ySplit="1" topLeftCell="A2" activePane="bottomLeft" state="frozen"/>
      <selection pane="bottomLeft" activeCell="A2" sqref="A2:A9"/>
    </sheetView>
  </sheetViews>
  <sheetFormatPr defaultColWidth="18.140625" defaultRowHeight="15" x14ac:dyDescent="0.25"/>
  <cols>
    <col min="1" max="1" width="10.85546875" bestFit="1" customWidth="1"/>
    <col min="2" max="2" width="20.7109375" style="4" bestFit="1" customWidth="1"/>
  </cols>
  <sheetData>
    <row r="1" spans="1:2" x14ac:dyDescent="0.25">
      <c r="A1" s="3" t="s">
        <v>10</v>
      </c>
      <c r="B1" s="11" t="s">
        <v>38</v>
      </c>
    </row>
    <row r="2" spans="1:2" x14ac:dyDescent="0.25">
      <c r="A2" s="2" t="s">
        <v>52</v>
      </c>
      <c r="B2" s="7"/>
    </row>
    <row r="3" spans="1:2" x14ac:dyDescent="0.25">
      <c r="A3" s="2" t="s">
        <v>52</v>
      </c>
      <c r="B3" s="7"/>
    </row>
    <row r="4" spans="1:2" x14ac:dyDescent="0.25">
      <c r="A4" s="2" t="s">
        <v>52</v>
      </c>
    </row>
    <row r="5" spans="1:2" x14ac:dyDescent="0.25">
      <c r="A5" s="2" t="s">
        <v>52</v>
      </c>
    </row>
    <row r="6" spans="1:2" x14ac:dyDescent="0.25">
      <c r="A6" s="2" t="s">
        <v>50</v>
      </c>
      <c r="B6" s="7"/>
    </row>
    <row r="7" spans="1:2" x14ac:dyDescent="0.25">
      <c r="A7" s="2" t="s">
        <v>50</v>
      </c>
      <c r="B7" s="7"/>
    </row>
    <row r="8" spans="1:2" x14ac:dyDescent="0.25">
      <c r="A8" s="2" t="s">
        <v>50</v>
      </c>
    </row>
    <row r="9" spans="1:2" x14ac:dyDescent="0.25">
      <c r="A9" s="2" t="s">
        <v>50</v>
      </c>
    </row>
    <row r="1627" spans="1:1" x14ac:dyDescent="0.25">
      <c r="A1627" t="s">
        <v>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Spot (Sample)</vt:lpstr>
      <vt:lpstr>Sheet3</vt:lpstr>
      <vt:lpstr>Accounts</vt:lpstr>
      <vt:lpstr>BalanceUpload</vt:lpstr>
      <vt:lpstr>RUN</vt:lpstr>
      <vt:lpstr>Term</vt:lpstr>
      <vt:lpstr>$Term2</vt:lpstr>
      <vt:lpstr>$TermInterestDates</vt:lpstr>
      <vt:lpstr>$TermInterestRates</vt:lpstr>
      <vt:lpstr>$TermInterestAmortisations</vt:lpstr>
    </vt:vector>
  </TitlesOfParts>
  <Company>Banco do Brasil SA.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2016-03-31T15:43:39Z</cp:lastPrinted>
  <dcterms:created xsi:type="dcterms:W3CDTF">2011-04-06T15:22:11Z</dcterms:created>
  <dcterms:modified xsi:type="dcterms:W3CDTF">2018-05-22T18:05:32Z</dcterms:modified>
</cp:coreProperties>
</file>